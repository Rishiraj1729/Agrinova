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Questions" sheetId="2" r:id="rId2"/>
    <sheet name="Farmers" sheetId="3" r:id="rId3"/>
    <sheet name="Buyers" sheetId="4" r:id="rId4"/>
    <sheet name="Government" sheetId="5" r:id="rId5"/>
    <sheet name="Findings" sheetId="6" r:id="rId6"/>
    <sheet name="Lists" sheetId="7" state="hidden" r:id="rId7"/>
  </sheets>
  <definedNames>
    <definedName name="_xlnm._FilterDatabase" localSheetId="3" hidden="1">Buyers!$A$4:$K$24</definedName>
    <definedName name="_xlnm._FilterDatabase" localSheetId="2" hidden="1">Farmers!$A$4:$M$54</definedName>
    <definedName name="_xlnm._FilterDatabase" localSheetId="4" hidden="1">Government!$A$4:$J$22</definedName>
  </definedNames>
  <calcPr calcId="124519" fullCalcOnLoad="1"/>
</workbook>
</file>

<file path=xl/sharedStrings.xml><?xml version="1.0" encoding="utf-8"?>
<sst xmlns="http://schemas.openxmlformats.org/spreadsheetml/2006/main" count="631" uniqueCount="322">
  <si>
    <t>state</t>
  </si>
  <si>
    <t>Punjab</t>
  </si>
  <si>
    <t>West Bengal</t>
  </si>
  <si>
    <t>fate</t>
  </si>
  <si>
    <t>Sold / gifted to a plant or neighbour</t>
  </si>
  <si>
    <t>Stacked and left to rot or dump</t>
  </si>
  <si>
    <t>Burned on a dry window</t>
  </si>
  <si>
    <t>Mixed into household / municipal waste</t>
  </si>
  <si>
    <t>window</t>
  </si>
  <si>
    <t>Under 10 days</t>
  </si>
  <si>
    <t>10-15 days</t>
  </si>
  <si>
    <t>16-25 days</t>
  </si>
  <si>
    <t>More than 25 days</t>
  </si>
  <si>
    <t>phone</t>
  </si>
  <si>
    <t>Yes</t>
  </si>
  <si>
    <t>Only through a broker</t>
  </si>
  <si>
    <t>No</t>
  </si>
  <si>
    <t>barrier</t>
  </si>
  <si>
    <t>No buyer phone in the village</t>
  </si>
  <si>
    <t>Straw too wet to bale</t>
  </si>
  <si>
    <t>Transport cost eats the gate price</t>
  </si>
  <si>
    <t>Do not know compost / paper mill exists</t>
  </si>
  <si>
    <t>I did sell</t>
  </si>
  <si>
    <t>pickup</t>
  </si>
  <si>
    <t>Maybe</t>
  </si>
  <si>
    <t>lang</t>
  </si>
  <si>
    <t>Punjabi</t>
  </si>
  <si>
    <t>Hindi</t>
  </si>
  <si>
    <t>Bangla</t>
  </si>
  <si>
    <t>English</t>
  </si>
  <si>
    <t>Voice in my language, not a PDF</t>
  </si>
  <si>
    <t>plant</t>
  </si>
  <si>
    <t>Biomass</t>
  </si>
  <si>
    <t>Paper</t>
  </si>
  <si>
    <t>Compost / SWM</t>
  </si>
  <si>
    <t>Cattle feed</t>
  </si>
  <si>
    <t>Biogas</t>
  </si>
  <si>
    <t>moisture</t>
  </si>
  <si>
    <t>12% or less</t>
  </si>
  <si>
    <t>15% or less</t>
  </si>
  <si>
    <t>18% or less</t>
  </si>
  <si>
    <t>We take mixed wet waste</t>
  </si>
  <si>
    <t>small</t>
  </si>
  <si>
    <t>Often</t>
  </si>
  <si>
    <t>Rarely</t>
  </si>
  <si>
    <t>Almost never</t>
  </si>
  <si>
    <t>listing</t>
  </si>
  <si>
    <t>Only if baled</t>
  </si>
  <si>
    <t>rank</t>
  </si>
  <si>
    <t>Agriculture Development Officer (ADO) / BAO</t>
  </si>
  <si>
    <t>Assistant Agricultural Officer</t>
  </si>
  <si>
    <t>Agriculture Sub-Inspector</t>
  </si>
  <si>
    <t>Sanitary Inspector (ULB / SWM)</t>
  </si>
  <si>
    <t>track</t>
  </si>
  <si>
    <t>Farmer names and FIRs</t>
  </si>
  <si>
    <t>Fires seen / complaints</t>
  </si>
  <si>
    <t>Tonnes lifted to a plant</t>
  </si>
  <si>
    <t>Almost nothing usable</t>
  </si>
  <si>
    <t>gap</t>
  </si>
  <si>
    <t>No utilised-vs-burned / dumped view</t>
  </si>
  <si>
    <t>CRM machines exist but no matching desk</t>
  </si>
  <si>
    <t>Compost plant is hungry; villages dump in drains</t>
  </si>
  <si>
    <t>Cannot share farmer phones upward</t>
  </si>
  <si>
    <t>desk</t>
  </si>
  <si>
    <t>If it stays at block level</t>
  </si>
  <si>
    <t>AgriNova field survey  |  residue, waste and matching</t>
  </si>
  <si>
    <t>Kharif 2025 demonstration pack  ·  Punjab and West Bengal  ·  names are fictional  ·  not a census</t>
  </si>
  <si>
    <t>Who this form is for</t>
  </si>
  <si>
    <t>Farmers</t>
  </si>
  <si>
    <t>11 Punjab + 10 West Bengal (2-9 acres)</t>
  </si>
  <si>
    <t>Buyers / plant staff</t>
  </si>
  <si>
    <t>Supervisor, clerk, pad operator, purchase assistant — not MDs</t>
  </si>
  <si>
    <t>Government (field posts)</t>
  </si>
  <si>
    <t>ADO, AAO, SI Grade II — not secretary / director</t>
  </si>
  <si>
    <t>How to use</t>
  </si>
  <si>
    <t>1. Print or open Questions if you are interviewing in the field. Ask only the block for that role.</t>
  </si>
  <si>
    <t>2. Enter new people on Farmers, Buyers or Government. Yellow cells are blank form rows. Dropdowns are locked to the instrument.</t>
  </si>
  <si>
    <t>3. Do not add secretariat / director / MD ranks. Government sample is block and ULB grade only.</t>
  </si>
  <si>
    <t>4. Findings updates automatically from filled name cells. Extra rows stay in this file; they are not a statewide estimate.</t>
  </si>
  <si>
    <t>5. Sample rows F01-F21, B01-B05, G01-G03 are the pack the case studies rest on. Keep them; add new IDs from F22 / B06 / G04.</t>
  </si>
  <si>
    <t>Why the questions look like this</t>
  </si>
  <si>
    <t>Farmers: last-season fate, harvest window, whether they hold a plant phone, why they did not sell, and whether a 5-day pickup would make them list. Buyers: moisture they will actually lift, and whether 2-6 acre lots ever reach the gate without a broker. Officials: what sits in the register today, the block gap, and whether an aggregate desk without farmer phones would help the weekly note. This is a method sample for AgriNova findings (matching desk, SWM gap in Bengal, burn window in Punjab). It is not a government census.</t>
  </si>
  <si>
    <t>Officials in the sample (low rank, real posts)</t>
  </si>
  <si>
    <t>ID</t>
  </si>
  <si>
    <t>Name</t>
  </si>
  <si>
    <t>Post</t>
  </si>
  <si>
    <t>Office</t>
  </si>
  <si>
    <t>District</t>
  </si>
  <si>
    <t>State</t>
  </si>
  <si>
    <t>G01</t>
  </si>
  <si>
    <t>Gurpreet Singh</t>
  </si>
  <si>
    <t>Block Ghanaur</t>
  </si>
  <si>
    <t>Patiala</t>
  </si>
  <si>
    <t>G02</t>
  </si>
  <si>
    <t>Mousumi Das</t>
  </si>
  <si>
    <t>Burdwan-I Block</t>
  </si>
  <si>
    <t>Burdwan</t>
  </si>
  <si>
    <t>G03</t>
  </si>
  <si>
    <t>Ranjit Halder</t>
  </si>
  <si>
    <t>Krishnanagar Municipality</t>
  </si>
  <si>
    <t>Nadia</t>
  </si>
  <si>
    <t>Sheets in this workbook</t>
  </si>
  <si>
    <t>Questions — the instrument (farmer / buyer / government).</t>
  </si>
  <si>
    <t>Farmers / Buyers / Government — sample answers plus blank yellow rows to add more.</t>
  </si>
  <si>
    <t>Findings — counts and charts driven by formulas on the three response sheets.</t>
  </si>
  <si>
    <t>Survey instrument  ·  one interview = one row on the matching sheet</t>
  </si>
  <si>
    <t>Read the prompt. Circle one option. Write the sentence last. First name is enough.</t>
  </si>
  <si>
    <t>#</t>
  </si>
  <si>
    <t>Role</t>
  </si>
  <si>
    <t>Question</t>
  </si>
  <si>
    <t>Options / note</t>
  </si>
  <si>
    <t>All</t>
  </si>
  <si>
    <t>Punjab  |  West Bengal  —  Fill Farmers, Buyers or Government — not this sheet.</t>
  </si>
  <si>
    <t>District / block</t>
  </si>
  <si>
    <t>Free text (Patiala, Sangrur, Burdwan, Hooghly, Nadia, Murshidabad…)</t>
  </si>
  <si>
    <t>Village / plant / office</t>
  </si>
  <si>
    <t>Free text</t>
  </si>
  <si>
    <t>First name is enough. Do not collect KCC / Aadhaar / phone.</t>
  </si>
  <si>
    <t>Farmer</t>
  </si>
  <si>
    <t>Operated land (acres)</t>
  </si>
  <si>
    <t>Number  —  Typical pack: 1.5 to 9 acres.</t>
  </si>
  <si>
    <t>What happened to most of last season's residue?</t>
  </si>
  <si>
    <t>Sold / gifted to a plant or neighbour · Stacked and left to rot or dump · Burned on a dry window · Mixed into household / municipal waste  —  Supports burn vs dump vs sell finding.</t>
  </si>
  <si>
    <t>Days between harvest and next sowing</t>
  </si>
  <si>
    <t>Under 10 days · 10-15 days · 16-25 days · More than 25 days  —  Punjab window is tighter.</t>
  </si>
  <si>
    <t>Do you have a plant / buyer phone you can call yourself?</t>
  </si>
  <si>
    <t>Yes · Only through a broker · No  —  Matching-desk gap.</t>
  </si>
  <si>
    <t>If you did not sell, the main reason was</t>
  </si>
  <si>
    <t>No buyer phone in the village · Straw too wet to bale · Transport cost eats the gate price · Do not know compost / paper mill exists · I did sell  —  Pick 'I did sell' if they sold.</t>
  </si>
  <si>
    <t>Would you list on a phone desk if pickup is guaranteed in 5 days?</t>
  </si>
  <si>
    <t>Yes · Maybe · No  —  Product test.</t>
  </si>
  <si>
    <t>Preferred advice language</t>
  </si>
  <si>
    <t>Punjabi · Hindi · Bangla · English · Voice in my language, not a PDF  —  KisanSathi voice / Bangla.</t>
  </si>
  <si>
    <t>One sentence in your words</t>
  </si>
  <si>
    <t>Buyer</t>
  </si>
  <si>
    <t>Your post</t>
  </si>
  <si>
    <t>Shift supervisor / weighbridge clerk / pad operator / purchase assistant / unit manager  —  Plant floor, not MD.</t>
  </si>
  <si>
    <t>Plant type</t>
  </si>
  <si>
    <t>Biomass · Paper · Compost / SWM · Cattle feed · Biogas</t>
  </si>
  <si>
    <t>Moisture you will actually lift</t>
  </si>
  <si>
    <t>12% or less · 15% or less · 18% or less · We take mixed wet waste  —  Rejects mixed wet waste as a dump.</t>
  </si>
  <si>
    <t>Do 2-6 acre farms reach your gate without a broker?</t>
  </si>
  <si>
    <t>Often · Rarely · Almost never  —  Smallholder access.</t>
  </si>
  <si>
    <t>Would a moisture-tagged listing + pickup slot help you take small lots?</t>
  </si>
  <si>
    <t>Yes · Only if baled · No</t>
  </si>
  <si>
    <t>One sentence from the plant floor</t>
  </si>
  <si>
    <t>Government</t>
  </si>
  <si>
    <t>Your post (field / block / ULB only)</t>
  </si>
  <si>
    <t>Agriculture Development Officer (ADO) / BAO · Assistant Agricultural Officer · Agriculture Sub-Inspector · Sanitary Inspector (ULB / SWM)  —  Stop if respondent is secretary, director, or DC.</t>
  </si>
  <si>
    <t>What do you currently put in the register?</t>
  </si>
  <si>
    <t>Farmer names and FIRs · Fires seen / complaints · Tonnes lifted to a plant · Almost nothing usable  —  No utilised-vs-dumped view.</t>
  </si>
  <si>
    <t>Biggest gap in your block</t>
  </si>
  <si>
    <t>No utilised-vs-burned / dumped view · CRM machines exist but no matching desk · Compost plant is hungry; villages dump in drains · Cannot share farmer phones upward</t>
  </si>
  <si>
    <t>Would an aggregate desk (no farmer PII) help your weekly note?</t>
  </si>
  <si>
    <t>Yes · If it stays at block level · No  —  Privacy constraint.</t>
  </si>
  <si>
    <t>One sentence from the block office</t>
  </si>
  <si>
    <t>Farmers  ·  21 sample interviews  ·  add new rows in yellow</t>
  </si>
  <si>
    <t>Sample F01-F11 Punjab, F12-F21 West Bengal. New IDs from F22. Fill yellow rows. Dropdowns only.</t>
  </si>
  <si>
    <t>Village</t>
  </si>
  <si>
    <t>Acres</t>
  </si>
  <si>
    <t>Last season residue fate</t>
  </si>
  <si>
    <t>Harvest-to-sow window</t>
  </si>
  <si>
    <t>Own buyer phone?</t>
  </si>
  <si>
    <t>Why not sold</t>
  </si>
  <si>
    <t>List if 5-day pickup?</t>
  </si>
  <si>
    <t>Advice language</t>
  </si>
  <si>
    <t>One sentence</t>
  </si>
  <si>
    <t>F01</t>
  </si>
  <si>
    <t>Jaswinder Singh</t>
  </si>
  <si>
    <t>Kharar</t>
  </si>
  <si>
    <t>12 days for wheat. Last year I burned. If a trolley comes I will not light it.</t>
  </si>
  <si>
    <t>F02</t>
  </si>
  <si>
    <t>Harpreet Kaur</t>
  </si>
  <si>
    <t>Nabha</t>
  </si>
  <si>
    <t>Plant is 18 km. By the time the contractor quotes, sowing has started.</t>
  </si>
  <si>
    <t>F03</t>
  </si>
  <si>
    <t>Balwinder Singh</t>
  </si>
  <si>
    <t>Ghanaur</t>
  </si>
  <si>
    <t>Neighbour's baler, GreenPower paid Rs 740/t. I want the same slot on a phone, not WhatsApp.</t>
  </si>
  <si>
    <t>F04</t>
  </si>
  <si>
    <t>Gurmeet Singh</t>
  </si>
  <si>
    <t>Rajpura rural</t>
  </si>
  <si>
    <t>Two acres is too small for the mill group. They skip us.</t>
  </si>
  <si>
    <t>F05</t>
  </si>
  <si>
    <t>Manjeet Kaur</t>
  </si>
  <si>
    <t>Sunam</t>
  </si>
  <si>
    <t>Sangrur</t>
  </si>
  <si>
    <t>Sold stubble once. Credits for urea would make me list again.</t>
  </si>
  <si>
    <t>F06</t>
  </si>
  <si>
    <t>Jagdeep Singh</t>
  </si>
  <si>
    <t>Dhuri</t>
  </si>
  <si>
    <t>Happy Seeder is booked late. Burning is still the 2-hour option.</t>
  </si>
  <si>
    <t>F07</t>
  </si>
  <si>
    <t>Kuldeep Singh</t>
  </si>
  <si>
    <t>Malerkotla</t>
  </si>
  <si>
    <t>Rain after harvest. Stack smelled. Nobody lifted it.</t>
  </si>
  <si>
    <t>F08</t>
  </si>
  <si>
    <t>Nirmal Singh</t>
  </si>
  <si>
    <t>Barnala</t>
  </si>
  <si>
    <t>Broker took Rs 120/t. Net was not worth the wait.</t>
  </si>
  <si>
    <t>F09</t>
  </si>
  <si>
    <t>Sukhchain Singh</t>
  </si>
  <si>
    <t>Tapa</t>
  </si>
  <si>
    <t>ADO told us not to burn. He did not give a buyer number.</t>
  </si>
  <si>
    <t>F10</t>
  </si>
  <si>
    <t>Ravinder Kaur</t>
  </si>
  <si>
    <t>Bhawanigarh</t>
  </si>
  <si>
    <t>I thought only biomass plants take straw. Nobody said compost.</t>
  </si>
  <si>
    <t>F11</t>
  </si>
  <si>
    <t>Amrik Singh</t>
  </si>
  <si>
    <t>Patran</t>
  </si>
  <si>
    <t>If match and pickup sit on one screen I will try once this kharif.</t>
  </si>
  <si>
    <t>F12</t>
  </si>
  <si>
    <t>Ramesh Das</t>
  </si>
  <si>
    <t>Memari</t>
  </si>
  <si>
    <t>Straw sits by the canal. Nobody from the mill has ever come here.</t>
  </si>
  <si>
    <t>F13</t>
  </si>
  <si>
    <t>Sukumar Roy</t>
  </si>
  <si>
    <t>Kalna</t>
  </si>
  <si>
    <t>Pour into the drain after rain. Municipality swears at us, then takes mixed waste.</t>
  </si>
  <si>
    <t>F14</t>
  </si>
  <si>
    <t>Anil Ghosh</t>
  </si>
  <si>
    <t>Chandannagar outgrowth</t>
  </si>
  <si>
    <t>Hooghly</t>
  </si>
  <si>
    <t>Paper mill took one lot. Moisture argument at the gate. Need a card before travel.</t>
  </si>
  <si>
    <t>F15</t>
  </si>
  <si>
    <t>Tapas Mondal</t>
  </si>
  <si>
    <t>Balagarh</t>
  </si>
  <si>
    <t>Always wet. Brokers laugh at 1.5 acres.</t>
  </si>
  <si>
    <t>F16</t>
  </si>
  <si>
    <t>Pradip Sen</t>
  </si>
  <si>
    <t>Ranaghat</t>
  </si>
  <si>
    <t>One dry week. We burned the jute-rice leftover. Compost plant is 9 km and we did not know.</t>
  </si>
  <si>
    <t>F17</t>
  </si>
  <si>
    <t>Kamal Haldar</t>
  </si>
  <si>
    <t>Krishnanagar rural</t>
  </si>
  <si>
    <t>SI told us not to dump. He did not tell us where the compost pad is.</t>
  </si>
  <si>
    <t>F18</t>
  </si>
  <si>
    <t>Debashis Sarkar</t>
  </si>
  <si>
    <t>Beldanga</t>
  </si>
  <si>
    <t>Murshidabad</t>
  </si>
  <si>
    <t>Quote from Malda biochar was good. Freight killed it.</t>
  </si>
  <si>
    <t>F19</t>
  </si>
  <si>
    <t>Biplab Banerjee</t>
  </si>
  <si>
    <t>Kandi</t>
  </si>
  <si>
    <t>We dry one day then it rains. Burning is the only dry-hour option.</t>
  </si>
  <si>
    <t>F20</t>
  </si>
  <si>
    <t>Sanjay Mitra</t>
  </si>
  <si>
    <t>Guptipara</t>
  </si>
  <si>
    <t>Delta Compost took 3 t. If pickup is on a list I can send the rest.</t>
  </si>
  <si>
    <t>F21</t>
  </si>
  <si>
    <t>Arun Bhattacharya</t>
  </si>
  <si>
    <t>Katwa</t>
  </si>
  <si>
    <t>Give me Bangla voice, not a scheme PDF. I will list.</t>
  </si>
  <si>
    <t>Buyers  ·  plant-floor staff  ·  not MDs</t>
  </si>
  <si>
    <t>Sample B01-B05. New IDs from B06. Yellow rows are blank form.</t>
  </si>
  <si>
    <t>Post (plant floor)</t>
  </si>
  <si>
    <t>Plant / gate</t>
  </si>
  <si>
    <t>Moisture you will lift</t>
  </si>
  <si>
    <t>2-6 acre farms reach gate without broker?</t>
  </si>
  <si>
    <t>Moisture listing + pickup help?</t>
  </si>
  <si>
    <t>One sentence from the floor</t>
  </si>
  <si>
    <t>B01</t>
  </si>
  <si>
    <t>Rakesh Kumar</t>
  </si>
  <si>
    <t>Shift supervisor</t>
  </si>
  <si>
    <t>GreenPower gate</t>
  </si>
  <si>
    <t>Rajpura</t>
  </si>
  <si>
    <t>We need 500 t this fortnight. Brokers bring 20-acre lots. 2-acre farms never call the cabin.</t>
  </si>
  <si>
    <t>B02</t>
  </si>
  <si>
    <t>Pooja Rani</t>
  </si>
  <si>
    <t>Weighbridge clerk</t>
  </si>
  <si>
    <t>Punjab Paper Mills</t>
  </si>
  <si>
    <t>If moisture is on the slip before the truck leaves the village we stop arguing at 6 am.</t>
  </si>
  <si>
    <t>B03</t>
  </si>
  <si>
    <t>Harbhajan Lal</t>
  </si>
  <si>
    <t>Plant manager (unit)</t>
  </si>
  <si>
    <t>AgroFeed</t>
  </si>
  <si>
    <t>We took Simran's 3.2 t. That should not be a one-off WhatsApp favour.</t>
  </si>
  <si>
    <t>B04</t>
  </si>
  <si>
    <t>Sk. Rafiq</t>
  </si>
  <si>
    <t>Pad operator</t>
  </si>
  <si>
    <t>Delta Compost</t>
  </si>
  <si>
    <t>ULB pad is hungry. Villages dump mixed wet straw in the drain 9 km away. We cannot take mixed waste.</t>
  </si>
  <si>
    <t>B05</t>
  </si>
  <si>
    <t>Mithun Dey</t>
  </si>
  <si>
    <t>Purchase assistant</t>
  </si>
  <si>
    <t>Bengal Paper Works</t>
  </si>
  <si>
    <t>We will not be a dump. Spec first, then lift. A listing with moisture would let us send one trolley.</t>
  </si>
  <si>
    <t>Government  ·  ADO / AAO / SI Grade II  ·  no secretariat</t>
  </si>
  <si>
    <t>Do not interview DC, director, or secretary. Sample G01-G03. New IDs from G04.</t>
  </si>
  <si>
    <t>Post (block / ULB only)</t>
  </si>
  <si>
    <t>What is in the register today</t>
  </si>
  <si>
    <t>Biggest gap in the block</t>
  </si>
  <si>
    <t>Aggregate desk (no farmer PII) help weekly note?</t>
  </si>
  <si>
    <t>One sentence from the office</t>
  </si>
  <si>
    <t>I file fire spots. I cannot tell the DAO how many tonnes left the block to a plant.</t>
  </si>
  <si>
    <t>One shared baler, Excel of names. I will not put KCC numbers on a portal. Aggregates only.</t>
  </si>
  <si>
    <t>SWM Rules ask me to process bio-waste. Farm straw never arrives as a lot. I only see mixed drain waste.</t>
  </si>
  <si>
    <t>Findings  ·  live counts from the three response sheets</t>
  </si>
  <si>
    <t>Formulas count every filled name. Sample pack + any yellow-row additions. Method sample, not a census.</t>
  </si>
  <si>
    <t>Farmers filled</t>
  </si>
  <si>
    <t>name cells on Farmers</t>
  </si>
  <si>
    <t>Punjab farmers</t>
  </si>
  <si>
    <t>state = Punjab</t>
  </si>
  <si>
    <t>West Bengal farmers</t>
  </si>
  <si>
    <t>state = West Bengal</t>
  </si>
  <si>
    <t>Would list (Yes)</t>
  </si>
  <si>
    <t>of those who answered pickup</t>
  </si>
  <si>
    <t>Buyers filled</t>
  </si>
  <si>
    <t>plant-floor staff</t>
  </si>
  <si>
    <t>Officials filled</t>
  </si>
  <si>
    <t>ADO / AAO / SI only</t>
  </si>
  <si>
    <t>Last season residue fate (farmers)</t>
  </si>
  <si>
    <t>Answer</t>
  </si>
  <si>
    <t>Count</t>
  </si>
  <si>
    <t>Share</t>
  </si>
  <si>
    <t>Why they did not sell</t>
  </si>
  <si>
    <t>Fate by state (count)</t>
  </si>
  <si>
    <t>Fate</t>
  </si>
  <si>
    <t>Buyers — smallholders at the gate</t>
  </si>
  <si>
    <t>Officials — biggest gap</t>
  </si>
  <si>
    <t>Read: Punjab burns more; Bengal dumps or mixes more. Most farmers have no plant phone they can call themselves. Plant staff say 2-6 acre lots almost never reach the gate without a broker. The three officials are field grade — they log fires or FIRs, not tonnes utilised.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</si>
</sst>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%"/>
  </numFmts>
  <fonts count="13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rgb="FFD7E4DC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1D1D1F"/>
      <name val="Calibri"/>
      <family val="2"/>
      <scheme val="minor"/>
    </font>
    <font>
      <b/>
      <sz val="18"/>
      <color rgb="FF1F4D3A"/>
      <name val="Calibri"/>
      <family val="2"/>
      <scheme val="minor"/>
    </font>
    <font>
      <sz val="10"/>
      <color rgb="FF6E6E73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0"/>
      <color rgb="FF1D1D1F"/>
      <name val="Calibri"/>
      <family val="2"/>
      <scheme val="minor"/>
    </font>
    <font>
      <b/>
      <sz val="10"/>
      <color rgb="FF9A6B32"/>
      <name val="Calibri"/>
      <family val="2"/>
      <scheme val="minor"/>
    </font>
    <font>
      <b/>
      <sz val="11"/>
      <color rgb="FF1D1D1F"/>
      <name val="Calibri"/>
      <family val="2"/>
      <scheme val="minor"/>
    </font>
    <font>
      <sz val="9"/>
      <color rgb="FF6E6E73"/>
      <name val="Calibri"/>
      <family val="2"/>
      <scheme val="minor"/>
    </font>
    <font>
      <i/>
      <sz val="9"/>
      <color rgb="FF6E6E7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D3A"/>
        <bgColor indexed="64"/>
      </patternFill>
    </fill>
    <fill>
      <patternFill patternType="solid">
        <fgColor rgb="FF3D6B54"/>
        <bgColor indexed="64"/>
      </patternFill>
    </fill>
    <fill>
      <patternFill patternType="solid">
        <fgColor rgb="FFF5F5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F3F0"/>
        <bgColor indexed="64"/>
      </patternFill>
    </fill>
    <fill>
      <patternFill patternType="solid">
        <fgColor rgb="FFFFFDF8"/>
        <bgColor indexed="64"/>
      </patternFill>
    </fill>
  </fills>
  <borders count="2">
    <border>
      <left/>
      <right/>
      <top/>
      <bottom/>
      <diagonal/>
    </border>
    <border>
      <left style="thin">
        <color rgb="FFE6E4DF"/>
      </left>
      <right style="thin">
        <color rgb="FFE6E4DF"/>
      </right>
      <top style="thin">
        <color rgb="FFE6E4DF"/>
      </top>
      <bottom style="thin">
        <color rgb="FFE6E4D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0" borderId="0" xfId="0" applyFont="1"/>
    <xf numFmtId="0" fontId="5" fillId="4" borderId="0" xfId="0" applyFont="1" applyFill="1" applyAlignment="1">
      <alignment horizontal="left" vertical="center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top" wrapText="1"/>
    </xf>
    <xf numFmtId="0" fontId="7" fillId="3" borderId="0" xfId="0" applyFont="1" applyFill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center" vertical="top"/>
    </xf>
    <xf numFmtId="0" fontId="10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164" fontId="8" fillId="5" borderId="1" xfId="0" applyNumberFormat="1" applyFont="1" applyFill="1" applyBorder="1" applyAlignment="1">
      <alignment horizontal="right" vertical="center"/>
    </xf>
    <xf numFmtId="164" fontId="8" fillId="6" borderId="1" xfId="0" applyNumberFormat="1" applyFont="1" applyFill="1" applyBorder="1" applyAlignment="1">
      <alignment horizontal="right" vertical="center"/>
    </xf>
    <xf numFmtId="0" fontId="8" fillId="7" borderId="1" xfId="0" applyFont="1" applyFill="1" applyBorder="1" applyAlignment="1">
      <alignment horizontal="left" vertical="center" wrapText="1"/>
    </xf>
    <xf numFmtId="164" fontId="8" fillId="7" borderId="1" xfId="0" applyNumberFormat="1" applyFont="1" applyFill="1" applyBorder="1" applyAlignment="1">
      <alignment horizontal="right" vertical="center"/>
    </xf>
    <xf numFmtId="0" fontId="11" fillId="4" borderId="0" xfId="0" applyFont="1" applyFill="1" applyAlignment="1">
      <alignment horizontal="left" vertical="center"/>
    </xf>
    <xf numFmtId="165" fontId="5" fillId="4" borderId="0" xfId="0" applyNumberFormat="1" applyFont="1" applyFill="1" applyAlignment="1">
      <alignment horizontal="left" vertical="center"/>
    </xf>
    <xf numFmtId="0" fontId="12" fillId="4" borderId="0" xfId="0" applyFont="1" applyFill="1"/>
    <xf numFmtId="1" fontId="8" fillId="0" borderId="1" xfId="0" applyNumberFormat="1" applyFont="1" applyBorder="1" applyAlignment="1">
      <alignment horizontal="right" vertical="center"/>
    </xf>
    <xf numFmtId="165" fontId="8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Residue fate (count)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Farmers</c:v>
          </c:tx>
          <c:spPr>
            <a:solidFill>
              <a:srgbClr val="1F4D3A"/>
            </a:solidFill>
          </c:spPr>
          <c:cat>
            <c:strRef>
              <c:f>Findings!$A$10:$A$13</c:f>
              <c:strCache>
                <c:ptCount val="4"/>
                <c:pt idx="0">
                  <c:v>Sold / gifted to a plant or neighbour</c:v>
                </c:pt>
                <c:pt idx="1">
                  <c:v>Stacked and left to rot or dump</c:v>
                </c:pt>
                <c:pt idx="2">
                  <c:v>Burned on a dry window</c:v>
                </c:pt>
                <c:pt idx="3">
                  <c:v>Mixed into household / municipal waste</c:v>
                </c:pt>
              </c:strCache>
            </c:strRef>
          </c:cat>
          <c:val>
            <c:numRef>
              <c:f>Findings!$B$10:$B$13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80"/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t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Fate by state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Punjab</c:v>
          </c:tx>
          <c:spPr>
            <a:solidFill>
              <a:srgbClr val="9A6B32"/>
            </a:solidFill>
          </c:spPr>
          <c:cat>
            <c:strRef>
              <c:f>Findings!$E$10:$E$13</c:f>
              <c:strCache>
                <c:ptCount val="4"/>
                <c:pt idx="0">
                  <c:v>Sold / gifted to a plant or neighbour</c:v>
                </c:pt>
                <c:pt idx="1">
                  <c:v>Stacked and left to rot or dump</c:v>
                </c:pt>
                <c:pt idx="2">
                  <c:v>Burned on a dry window</c:v>
                </c:pt>
                <c:pt idx="3">
                  <c:v>Mixed into household / municipal waste</c:v>
                </c:pt>
              </c:strCache>
            </c:strRef>
          </c:cat>
          <c:val>
            <c:numRef>
              <c:f>Findings!$F$10:$F$13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v>West Bengal</c:v>
          </c:tx>
          <c:spPr>
            <a:solidFill>
              <a:srgbClr val="3D6B54"/>
            </a:solidFill>
          </c:spPr>
          <c:cat>
            <c:strRef>
              <c:f>Findings!$E$10:$E$13</c:f>
              <c:strCache>
                <c:ptCount val="4"/>
                <c:pt idx="0">
                  <c:v>Sold / gifted to a plant or neighbour</c:v>
                </c:pt>
                <c:pt idx="1">
                  <c:v>Stacked and left to rot or dump</c:v>
                </c:pt>
                <c:pt idx="2">
                  <c:v>Burned on a dry window</c:v>
                </c:pt>
                <c:pt idx="3">
                  <c:v>Mixed into household / municipal waste</c:v>
                </c:pt>
              </c:strCache>
            </c:strRef>
          </c:cat>
          <c:val>
            <c:numRef>
              <c:f>Findings!$G$10:$G$13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7</xdr:row>
      <xdr:rowOff>0</xdr:rowOff>
    </xdr:from>
    <xdr:to>
      <xdr:col>13</xdr:col>
      <xdr:colOff>38100</xdr:colOff>
      <xdr:row>16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13</xdr:col>
      <xdr:colOff>38100</xdr:colOff>
      <xdr:row>28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showGridLines="0" tabSelected="1" workbookViewId="0">
      <pane topLeftCell="A1" activePane="bottomLeft" state="frozen"/>
      <selection pane="bottomLeft"/>
    </sheetView>
  </sheetViews>
  <sheetFormatPr defaultRowHeight="18" customHeight="1"/>
  <cols>
    <col min="1" max="1" width="28.7109375" customWidth="1"/>
    <col min="2" max="2" width="16.7109375" customWidth="1"/>
    <col min="3" max="3" width="42.7109375" customWidth="1"/>
    <col min="4" max="7" width="22.7109375" customWidth="1"/>
  </cols>
  <sheetData>
    <row r="1" spans="1:7" ht="32" customHeight="1">
      <c r="A1" s="1" t="s">
        <v>65</v>
      </c>
      <c r="B1" s="1"/>
      <c r="C1" s="1"/>
      <c r="D1" s="1"/>
      <c r="E1" s="1"/>
      <c r="F1" s="1"/>
      <c r="G1" s="1"/>
    </row>
    <row r="2" spans="1:7" ht="20" customHeight="1">
      <c r="A2" s="2" t="s">
        <v>66</v>
      </c>
      <c r="B2" s="2"/>
      <c r="C2" s="2"/>
      <c r="D2" s="2"/>
      <c r="E2" s="2"/>
      <c r="F2" s="2"/>
      <c r="G2" s="2"/>
    </row>
    <row r="4" spans="1:7" ht="18" customHeight="1">
      <c r="A4" s="3" t="s">
        <v>67</v>
      </c>
      <c r="B4" s="3"/>
      <c r="C4" s="3"/>
    </row>
    <row r="5" spans="1:7" ht="18" customHeight="1">
      <c r="A5" s="4" t="s">
        <v>68</v>
      </c>
      <c r="B5" s="5">
        <v>21</v>
      </c>
      <c r="C5" s="6" t="s">
        <v>69</v>
      </c>
    </row>
    <row r="6" spans="1:7" ht="18" customHeight="1">
      <c r="A6" s="4" t="s">
        <v>70</v>
      </c>
      <c r="B6" s="5">
        <v>5</v>
      </c>
      <c r="C6" s="6" t="s">
        <v>71</v>
      </c>
    </row>
    <row r="7" spans="1:7" ht="18" customHeight="1">
      <c r="A7" s="4" t="s">
        <v>72</v>
      </c>
      <c r="B7" s="5">
        <v>3</v>
      </c>
      <c r="C7" s="6" t="s">
        <v>73</v>
      </c>
    </row>
    <row r="9" spans="1:7" ht="18" customHeight="1">
      <c r="A9" s="3" t="s">
        <v>74</v>
      </c>
      <c r="B9" s="3"/>
      <c r="C9" s="3"/>
      <c r="D9" s="3"/>
      <c r="E9" s="3"/>
      <c r="F9" s="3"/>
      <c r="G9" s="3"/>
    </row>
    <row r="10" spans="1:7" ht="22" customHeight="1">
      <c r="A10" s="7" t="s">
        <v>75</v>
      </c>
      <c r="B10" s="7"/>
      <c r="C10" s="7"/>
      <c r="D10" s="7"/>
      <c r="E10" s="7"/>
      <c r="F10" s="7"/>
      <c r="G10" s="7"/>
    </row>
    <row r="11" spans="1:7" ht="22" customHeight="1">
      <c r="A11" s="7" t="s">
        <v>76</v>
      </c>
      <c r="B11" s="7"/>
      <c r="C11" s="7"/>
      <c r="D11" s="7"/>
      <c r="E11" s="7"/>
      <c r="F11" s="7"/>
      <c r="G11" s="7"/>
    </row>
    <row r="12" spans="1:7" ht="22" customHeight="1">
      <c r="A12" s="7" t="s">
        <v>77</v>
      </c>
      <c r="B12" s="7"/>
      <c r="C12" s="7"/>
      <c r="D12" s="7"/>
      <c r="E12" s="7"/>
      <c r="F12" s="7"/>
      <c r="G12" s="7"/>
    </row>
    <row r="13" spans="1:7" ht="22" customHeight="1">
      <c r="A13" s="7" t="s">
        <v>78</v>
      </c>
      <c r="B13" s="7"/>
      <c r="C13" s="7"/>
      <c r="D13" s="7"/>
      <c r="E13" s="7"/>
      <c r="F13" s="7"/>
      <c r="G13" s="7"/>
    </row>
    <row r="14" spans="1:7" ht="22" customHeight="1">
      <c r="A14" s="7" t="s">
        <v>79</v>
      </c>
      <c r="B14" s="7"/>
      <c r="C14" s="7"/>
      <c r="D14" s="7"/>
      <c r="E14" s="7"/>
      <c r="F14" s="7"/>
      <c r="G14" s="7"/>
    </row>
    <row r="16" spans="1:7" ht="18" customHeight="1">
      <c r="A16" s="3" t="s">
        <v>80</v>
      </c>
      <c r="B16" s="3"/>
      <c r="C16" s="3"/>
      <c r="D16" s="3"/>
      <c r="E16" s="3"/>
      <c r="F16" s="3"/>
      <c r="G16" s="3"/>
    </row>
    <row r="17" spans="1:7" ht="18" customHeight="1">
      <c r="A17" s="7" t="s">
        <v>81</v>
      </c>
      <c r="B17" s="7"/>
      <c r="C17" s="7"/>
      <c r="D17" s="7"/>
      <c r="E17" s="7"/>
      <c r="F17" s="7"/>
      <c r="G17" s="7"/>
    </row>
    <row r="18" spans="1:7" ht="36" customHeight="1">
      <c r="A18" s="7"/>
      <c r="B18" s="7"/>
      <c r="C18" s="7"/>
      <c r="D18" s="7"/>
      <c r="E18" s="7"/>
      <c r="F18" s="7"/>
      <c r="G18" s="7"/>
    </row>
    <row r="19" spans="1:7" ht="36" customHeight="1">
      <c r="A19" s="7"/>
      <c r="B19" s="7"/>
      <c r="C19" s="7"/>
      <c r="D19" s="7"/>
      <c r="E19" s="7"/>
      <c r="F19" s="7"/>
      <c r="G19" s="7"/>
    </row>
    <row r="21" spans="1:7" ht="18" customHeight="1">
      <c r="A21" s="3" t="s">
        <v>82</v>
      </c>
      <c r="B21" s="3"/>
      <c r="C21" s="3"/>
    </row>
    <row r="22" spans="1:7" ht="18" customHeight="1">
      <c r="A22" s="8" t="s">
        <v>83</v>
      </c>
      <c r="B22" s="8" t="s">
        <v>84</v>
      </c>
      <c r="C22" s="8" t="s">
        <v>85</v>
      </c>
      <c r="D22" s="8" t="s">
        <v>86</v>
      </c>
      <c r="E22" s="8" t="s">
        <v>87</v>
      </c>
      <c r="F22" s="8" t="s">
        <v>88</v>
      </c>
    </row>
    <row r="23" spans="1:7" ht="18" customHeight="1">
      <c r="A23" s="9" t="s">
        <v>89</v>
      </c>
      <c r="B23" s="9" t="s">
        <v>90</v>
      </c>
      <c r="C23" s="9" t="s">
        <v>49</v>
      </c>
      <c r="D23" s="9" t="s">
        <v>91</v>
      </c>
      <c r="E23" s="9" t="s">
        <v>92</v>
      </c>
      <c r="F23" s="9" t="s">
        <v>1</v>
      </c>
    </row>
    <row r="24" spans="1:7" ht="18" customHeight="1">
      <c r="A24" s="10" t="s">
        <v>93</v>
      </c>
      <c r="B24" s="10" t="s">
        <v>94</v>
      </c>
      <c r="C24" s="10" t="s">
        <v>50</v>
      </c>
      <c r="D24" s="10" t="s">
        <v>95</v>
      </c>
      <c r="E24" s="10" t="s">
        <v>96</v>
      </c>
      <c r="F24" s="10" t="s">
        <v>2</v>
      </c>
    </row>
    <row r="25" spans="1:7" ht="18" customHeight="1">
      <c r="A25" s="9" t="s">
        <v>97</v>
      </c>
      <c r="B25" s="9" t="s">
        <v>98</v>
      </c>
      <c r="C25" s="9" t="s">
        <v>52</v>
      </c>
      <c r="D25" s="9" t="s">
        <v>99</v>
      </c>
      <c r="E25" s="9" t="s">
        <v>100</v>
      </c>
      <c r="F25" s="9" t="s">
        <v>2</v>
      </c>
    </row>
    <row r="27" spans="1:7" ht="18" customHeight="1">
      <c r="A27" s="3" t="s">
        <v>101</v>
      </c>
      <c r="B27" s="3"/>
      <c r="C27" s="3"/>
      <c r="D27" s="3"/>
      <c r="E27" s="3"/>
      <c r="F27" s="3"/>
      <c r="G27" s="3"/>
    </row>
    <row r="28" spans="1:7" ht="18" customHeight="1">
      <c r="A28" s="6" t="s">
        <v>102</v>
      </c>
    </row>
    <row r="29" spans="1:7" ht="18" customHeight="1">
      <c r="A29" s="6" t="s">
        <v>103</v>
      </c>
    </row>
    <row r="30" spans="1:7" ht="18" customHeight="1">
      <c r="A30" s="6" t="s">
        <v>104</v>
      </c>
    </row>
  </sheetData>
  <mergeCells count="13">
    <mergeCell ref="A1:G1"/>
    <mergeCell ref="A2:G2"/>
    <mergeCell ref="A4:C4"/>
    <mergeCell ref="A9:G9"/>
    <mergeCell ref="A10:G10"/>
    <mergeCell ref="A11:G11"/>
    <mergeCell ref="A12:G12"/>
    <mergeCell ref="A13:G13"/>
    <mergeCell ref="A14:G14"/>
    <mergeCell ref="A16:G16"/>
    <mergeCell ref="A17:G19"/>
    <mergeCell ref="A21:C21"/>
    <mergeCell ref="A27:G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7"/>
  <sheetViews>
    <sheetView showGridLines="0" workbookViewId="0">
      <pane ySplit="4" topLeftCell="A5" activePane="bottomLeft" state="frozen"/>
      <selection pane="bottomLeft"/>
    </sheetView>
  </sheetViews>
  <sheetFormatPr defaultRowHeight="18" customHeight="1"/>
  <cols>
    <col min="1" max="1" width="8.7109375" customWidth="1"/>
    <col min="2" max="2" width="22.7109375" customWidth="1"/>
    <col min="3" max="3" width="52.7109375" customWidth="1"/>
    <col min="4" max="4" width="62.7109375" customWidth="1"/>
  </cols>
  <sheetData>
    <row r="1" spans="1:4" ht="32" customHeight="1">
      <c r="A1" s="1" t="s">
        <v>105</v>
      </c>
      <c r="B1" s="1"/>
      <c r="C1" s="1"/>
      <c r="D1" s="1"/>
    </row>
    <row r="2" spans="1:4" ht="18" customHeight="1">
      <c r="A2" s="2" t="s">
        <v>106</v>
      </c>
      <c r="B2" s="2"/>
      <c r="C2" s="2"/>
      <c r="D2" s="2"/>
    </row>
    <row r="4" spans="1:4" ht="18" customHeight="1">
      <c r="A4" s="8" t="s">
        <v>107</v>
      </c>
      <c r="B4" s="8" t="s">
        <v>108</v>
      </c>
      <c r="C4" s="8" t="s">
        <v>109</v>
      </c>
      <c r="D4" s="8" t="s">
        <v>110</v>
      </c>
    </row>
    <row r="5" spans="1:4" ht="24" customHeight="1">
      <c r="A5" s="11">
        <v>1</v>
      </c>
      <c r="B5" s="9" t="s">
        <v>111</v>
      </c>
      <c r="C5" s="12" t="s">
        <v>88</v>
      </c>
      <c r="D5" s="13" t="s">
        <v>112</v>
      </c>
    </row>
    <row r="6" spans="1:4" ht="36" customHeight="1">
      <c r="A6" s="11">
        <v>2</v>
      </c>
      <c r="B6" s="10" t="s">
        <v>111</v>
      </c>
      <c r="C6" s="12" t="s">
        <v>113</v>
      </c>
      <c r="D6" s="13" t="s">
        <v>114</v>
      </c>
    </row>
    <row r="7" spans="1:4" ht="24" customHeight="1">
      <c r="A7" s="11">
        <v>3</v>
      </c>
      <c r="B7" s="9" t="s">
        <v>111</v>
      </c>
      <c r="C7" s="12" t="s">
        <v>115</v>
      </c>
      <c r="D7" s="13" t="s">
        <v>116</v>
      </c>
    </row>
    <row r="8" spans="1:4" ht="36" customHeight="1">
      <c r="A8" s="11">
        <v>4</v>
      </c>
      <c r="B8" s="10" t="s">
        <v>111</v>
      </c>
      <c r="C8" s="12" t="s">
        <v>84</v>
      </c>
      <c r="D8" s="13" t="s">
        <v>117</v>
      </c>
    </row>
    <row r="9" spans="1:4" ht="24" customHeight="1">
      <c r="A9" s="11">
        <v>5</v>
      </c>
      <c r="B9" s="9" t="s">
        <v>118</v>
      </c>
      <c r="C9" s="12" t="s">
        <v>119</v>
      </c>
      <c r="D9" s="13" t="s">
        <v>120</v>
      </c>
    </row>
    <row r="10" spans="1:4" ht="36" customHeight="1">
      <c r="A10" s="11">
        <v>6</v>
      </c>
      <c r="B10" s="10" t="s">
        <v>118</v>
      </c>
      <c r="C10" s="12" t="s">
        <v>121</v>
      </c>
      <c r="D10" s="13" t="s">
        <v>122</v>
      </c>
    </row>
    <row r="11" spans="1:4" ht="36" customHeight="1">
      <c r="A11" s="11">
        <v>7</v>
      </c>
      <c r="B11" s="9" t="s">
        <v>118</v>
      </c>
      <c r="C11" s="12" t="s">
        <v>123</v>
      </c>
      <c r="D11" s="13" t="s">
        <v>124</v>
      </c>
    </row>
    <row r="12" spans="1:4" ht="24" customHeight="1">
      <c r="A12" s="11">
        <v>8</v>
      </c>
      <c r="B12" s="10" t="s">
        <v>118</v>
      </c>
      <c r="C12" s="12" t="s">
        <v>125</v>
      </c>
      <c r="D12" s="13" t="s">
        <v>126</v>
      </c>
    </row>
    <row r="13" spans="1:4" ht="36" customHeight="1">
      <c r="A13" s="11">
        <v>9</v>
      </c>
      <c r="B13" s="9" t="s">
        <v>118</v>
      </c>
      <c r="C13" s="12" t="s">
        <v>127</v>
      </c>
      <c r="D13" s="13" t="s">
        <v>128</v>
      </c>
    </row>
    <row r="14" spans="1:4" ht="24" customHeight="1">
      <c r="A14" s="11">
        <v>10</v>
      </c>
      <c r="B14" s="10" t="s">
        <v>118</v>
      </c>
      <c r="C14" s="12" t="s">
        <v>129</v>
      </c>
      <c r="D14" s="13" t="s">
        <v>130</v>
      </c>
    </row>
    <row r="15" spans="1:4" ht="36" customHeight="1">
      <c r="A15" s="11">
        <v>11</v>
      </c>
      <c r="B15" s="9" t="s">
        <v>118</v>
      </c>
      <c r="C15" s="12" t="s">
        <v>131</v>
      </c>
      <c r="D15" s="13" t="s">
        <v>132</v>
      </c>
    </row>
    <row r="16" spans="1:4" ht="24" customHeight="1">
      <c r="A16" s="11">
        <v>12</v>
      </c>
      <c r="B16" s="10" t="s">
        <v>118</v>
      </c>
      <c r="C16" s="12" t="s">
        <v>133</v>
      </c>
      <c r="D16" s="13" t="s">
        <v>116</v>
      </c>
    </row>
    <row r="17" spans="1:4" ht="36" customHeight="1">
      <c r="A17" s="11">
        <v>13</v>
      </c>
      <c r="B17" s="9" t="s">
        <v>134</v>
      </c>
      <c r="C17" s="12" t="s">
        <v>135</v>
      </c>
      <c r="D17" s="13" t="s">
        <v>136</v>
      </c>
    </row>
    <row r="18" spans="1:4" ht="36" customHeight="1">
      <c r="A18" s="11">
        <v>14</v>
      </c>
      <c r="B18" s="10" t="s">
        <v>134</v>
      </c>
      <c r="C18" s="12" t="s">
        <v>137</v>
      </c>
      <c r="D18" s="13" t="s">
        <v>138</v>
      </c>
    </row>
    <row r="19" spans="1:4" ht="36" customHeight="1">
      <c r="A19" s="11">
        <v>15</v>
      </c>
      <c r="B19" s="9" t="s">
        <v>134</v>
      </c>
      <c r="C19" s="12" t="s">
        <v>139</v>
      </c>
      <c r="D19" s="13" t="s">
        <v>140</v>
      </c>
    </row>
    <row r="20" spans="1:4" ht="24" customHeight="1">
      <c r="A20" s="11">
        <v>16</v>
      </c>
      <c r="B20" s="10" t="s">
        <v>134</v>
      </c>
      <c r="C20" s="12" t="s">
        <v>141</v>
      </c>
      <c r="D20" s="13" t="s">
        <v>142</v>
      </c>
    </row>
    <row r="21" spans="1:4" ht="24" customHeight="1">
      <c r="A21" s="11">
        <v>17</v>
      </c>
      <c r="B21" s="9" t="s">
        <v>134</v>
      </c>
      <c r="C21" s="12" t="s">
        <v>143</v>
      </c>
      <c r="D21" s="13" t="s">
        <v>144</v>
      </c>
    </row>
    <row r="22" spans="1:4" ht="24" customHeight="1">
      <c r="A22" s="11">
        <v>18</v>
      </c>
      <c r="B22" s="10" t="s">
        <v>134</v>
      </c>
      <c r="C22" s="12" t="s">
        <v>145</v>
      </c>
      <c r="D22" s="13" t="s">
        <v>116</v>
      </c>
    </row>
    <row r="23" spans="1:4" ht="36" customHeight="1">
      <c r="A23" s="11">
        <v>19</v>
      </c>
      <c r="B23" s="9" t="s">
        <v>146</v>
      </c>
      <c r="C23" s="12" t="s">
        <v>147</v>
      </c>
      <c r="D23" s="13" t="s">
        <v>148</v>
      </c>
    </row>
    <row r="24" spans="1:4" ht="36" customHeight="1">
      <c r="A24" s="11">
        <v>20</v>
      </c>
      <c r="B24" s="10" t="s">
        <v>146</v>
      </c>
      <c r="C24" s="12" t="s">
        <v>149</v>
      </c>
      <c r="D24" s="13" t="s">
        <v>150</v>
      </c>
    </row>
    <row r="25" spans="1:4" ht="36" customHeight="1">
      <c r="A25" s="11">
        <v>21</v>
      </c>
      <c r="B25" s="9" t="s">
        <v>146</v>
      </c>
      <c r="C25" s="12" t="s">
        <v>151</v>
      </c>
      <c r="D25" s="13" t="s">
        <v>152</v>
      </c>
    </row>
    <row r="26" spans="1:4" ht="24" customHeight="1">
      <c r="A26" s="11">
        <v>22</v>
      </c>
      <c r="B26" s="10" t="s">
        <v>146</v>
      </c>
      <c r="C26" s="12" t="s">
        <v>153</v>
      </c>
      <c r="D26" s="13" t="s">
        <v>154</v>
      </c>
    </row>
    <row r="27" spans="1:4" ht="24" customHeight="1">
      <c r="A27" s="11">
        <v>23</v>
      </c>
      <c r="B27" s="9" t="s">
        <v>146</v>
      </c>
      <c r="C27" s="12" t="s">
        <v>155</v>
      </c>
      <c r="D27" s="13" t="s">
        <v>116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5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8" customHeight="1"/>
  <cols>
    <col min="1" max="1" width="8.7109375" customWidth="1"/>
    <col min="2" max="2" width="18.7109375" customWidth="1"/>
    <col min="3" max="3" width="22.7109375" customWidth="1"/>
    <col min="4" max="5" width="14.7109375" customWidth="1"/>
    <col min="6" max="6" width="10.7109375" customWidth="1"/>
    <col min="7" max="7" width="38.7109375" customWidth="1"/>
    <col min="8" max="8" width="18.7109375" customWidth="1"/>
    <col min="9" max="9" width="22.7109375" customWidth="1"/>
    <col min="10" max="10" width="38.7109375" customWidth="1"/>
    <col min="11" max="11" width="22.7109375" customWidth="1"/>
    <col min="12" max="12" width="32.7109375" customWidth="1"/>
    <col min="13" max="13" width="42.7109375" customWidth="1"/>
  </cols>
  <sheetData>
    <row r="1" spans="1:13" ht="32" customHeight="1">
      <c r="A1" s="1" t="s">
        <v>156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>
      <c r="A2" s="2" t="s">
        <v>157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1:13" ht="32" customHeight="1">
      <c r="A4" s="8" t="s">
        <v>83</v>
      </c>
      <c r="B4" s="8" t="s">
        <v>84</v>
      </c>
      <c r="C4" s="8" t="s">
        <v>158</v>
      </c>
      <c r="D4" s="8" t="s">
        <v>87</v>
      </c>
      <c r="E4" s="8" t="s">
        <v>88</v>
      </c>
      <c r="F4" s="8" t="s">
        <v>159</v>
      </c>
      <c r="G4" s="8" t="s">
        <v>160</v>
      </c>
      <c r="H4" s="8" t="s">
        <v>161</v>
      </c>
      <c r="I4" s="8" t="s">
        <v>162</v>
      </c>
      <c r="J4" s="8" t="s">
        <v>163</v>
      </c>
      <c r="K4" s="8" t="s">
        <v>164</v>
      </c>
      <c r="L4" s="8" t="s">
        <v>165</v>
      </c>
      <c r="M4" s="8" t="s">
        <v>166</v>
      </c>
    </row>
    <row r="5" spans="1:13" ht="32" customHeight="1">
      <c r="A5" s="9" t="s">
        <v>167</v>
      </c>
      <c r="B5" s="9" t="s">
        <v>168</v>
      </c>
      <c r="C5" s="9" t="s">
        <v>169</v>
      </c>
      <c r="D5" s="9" t="s">
        <v>92</v>
      </c>
      <c r="E5" s="9" t="s">
        <v>1</v>
      </c>
      <c r="F5" s="14">
        <v>6</v>
      </c>
      <c r="G5" s="9" t="s">
        <v>6</v>
      </c>
      <c r="H5" s="9" t="s">
        <v>10</v>
      </c>
      <c r="I5" s="9" t="s">
        <v>15</v>
      </c>
      <c r="J5" s="9" t="s">
        <v>18</v>
      </c>
      <c r="K5" s="9" t="s">
        <v>14</v>
      </c>
      <c r="L5" s="9" t="s">
        <v>26</v>
      </c>
      <c r="M5" s="9" t="s">
        <v>170</v>
      </c>
    </row>
    <row r="6" spans="1:13" ht="32" customHeight="1">
      <c r="A6" s="10" t="s">
        <v>171</v>
      </c>
      <c r="B6" s="10" t="s">
        <v>172</v>
      </c>
      <c r="C6" s="10" t="s">
        <v>173</v>
      </c>
      <c r="D6" s="10" t="s">
        <v>92</v>
      </c>
      <c r="E6" s="10" t="s">
        <v>1</v>
      </c>
      <c r="F6" s="15">
        <v>4.5</v>
      </c>
      <c r="G6" s="10" t="s">
        <v>6</v>
      </c>
      <c r="H6" s="10" t="s">
        <v>9</v>
      </c>
      <c r="I6" s="10" t="s">
        <v>16</v>
      </c>
      <c r="J6" s="10" t="s">
        <v>20</v>
      </c>
      <c r="K6" s="10" t="s">
        <v>14</v>
      </c>
      <c r="L6" s="10" t="s">
        <v>26</v>
      </c>
      <c r="M6" s="10" t="s">
        <v>174</v>
      </c>
    </row>
    <row r="7" spans="1:13" ht="32" customHeight="1">
      <c r="A7" s="9" t="s">
        <v>175</v>
      </c>
      <c r="B7" s="9" t="s">
        <v>176</v>
      </c>
      <c r="C7" s="9" t="s">
        <v>177</v>
      </c>
      <c r="D7" s="9" t="s">
        <v>92</v>
      </c>
      <c r="E7" s="9" t="s">
        <v>1</v>
      </c>
      <c r="F7" s="14">
        <v>8</v>
      </c>
      <c r="G7" s="9" t="s">
        <v>4</v>
      </c>
      <c r="H7" s="9" t="s">
        <v>10</v>
      </c>
      <c r="I7" s="9" t="s">
        <v>14</v>
      </c>
      <c r="J7" s="9" t="s">
        <v>22</v>
      </c>
      <c r="K7" s="9" t="s">
        <v>14</v>
      </c>
      <c r="L7" s="9" t="s">
        <v>27</v>
      </c>
      <c r="M7" s="9" t="s">
        <v>178</v>
      </c>
    </row>
    <row r="8" spans="1:13" ht="32" customHeight="1">
      <c r="A8" s="10" t="s">
        <v>179</v>
      </c>
      <c r="B8" s="10" t="s">
        <v>180</v>
      </c>
      <c r="C8" s="10" t="s">
        <v>181</v>
      </c>
      <c r="D8" s="10" t="s">
        <v>92</v>
      </c>
      <c r="E8" s="10" t="s">
        <v>1</v>
      </c>
      <c r="F8" s="15">
        <v>3</v>
      </c>
      <c r="G8" s="10" t="s">
        <v>6</v>
      </c>
      <c r="H8" s="10" t="s">
        <v>10</v>
      </c>
      <c r="I8" s="10" t="s">
        <v>16</v>
      </c>
      <c r="J8" s="10" t="s">
        <v>18</v>
      </c>
      <c r="K8" s="10" t="s">
        <v>24</v>
      </c>
      <c r="L8" s="10" t="s">
        <v>26</v>
      </c>
      <c r="M8" s="10" t="s">
        <v>182</v>
      </c>
    </row>
    <row r="9" spans="1:13" ht="32" customHeight="1">
      <c r="A9" s="9" t="s">
        <v>183</v>
      </c>
      <c r="B9" s="9" t="s">
        <v>184</v>
      </c>
      <c r="C9" s="9" t="s">
        <v>185</v>
      </c>
      <c r="D9" s="9" t="s">
        <v>186</v>
      </c>
      <c r="E9" s="9" t="s">
        <v>1</v>
      </c>
      <c r="F9" s="14">
        <v>4</v>
      </c>
      <c r="G9" s="9" t="s">
        <v>4</v>
      </c>
      <c r="H9" s="9" t="s">
        <v>10</v>
      </c>
      <c r="I9" s="9" t="s">
        <v>15</v>
      </c>
      <c r="J9" s="9" t="s">
        <v>22</v>
      </c>
      <c r="K9" s="9" t="s">
        <v>14</v>
      </c>
      <c r="L9" s="9" t="s">
        <v>26</v>
      </c>
      <c r="M9" s="9" t="s">
        <v>187</v>
      </c>
    </row>
    <row r="10" spans="1:13" ht="32" customHeight="1">
      <c r="A10" s="10" t="s">
        <v>188</v>
      </c>
      <c r="B10" s="10" t="s">
        <v>189</v>
      </c>
      <c r="C10" s="10" t="s">
        <v>190</v>
      </c>
      <c r="D10" s="10" t="s">
        <v>186</v>
      </c>
      <c r="E10" s="10" t="s">
        <v>1</v>
      </c>
      <c r="F10" s="15">
        <v>7</v>
      </c>
      <c r="G10" s="10" t="s">
        <v>6</v>
      </c>
      <c r="H10" s="10" t="s">
        <v>9</v>
      </c>
      <c r="I10" s="10" t="s">
        <v>15</v>
      </c>
      <c r="J10" s="10" t="s">
        <v>18</v>
      </c>
      <c r="K10" s="10" t="s">
        <v>14</v>
      </c>
      <c r="L10" s="10" t="s">
        <v>27</v>
      </c>
      <c r="M10" s="10" t="s">
        <v>191</v>
      </c>
    </row>
    <row r="11" spans="1:13" ht="32" customHeight="1">
      <c r="A11" s="9" t="s">
        <v>192</v>
      </c>
      <c r="B11" s="9" t="s">
        <v>193</v>
      </c>
      <c r="C11" s="9" t="s">
        <v>194</v>
      </c>
      <c r="D11" s="9" t="s">
        <v>194</v>
      </c>
      <c r="E11" s="9" t="s">
        <v>1</v>
      </c>
      <c r="F11" s="14">
        <v>5</v>
      </c>
      <c r="G11" s="9" t="s">
        <v>5</v>
      </c>
      <c r="H11" s="9" t="s">
        <v>10</v>
      </c>
      <c r="I11" s="9" t="s">
        <v>16</v>
      </c>
      <c r="J11" s="9" t="s">
        <v>19</v>
      </c>
      <c r="K11" s="9" t="s">
        <v>24</v>
      </c>
      <c r="L11" s="9" t="s">
        <v>26</v>
      </c>
      <c r="M11" s="9" t="s">
        <v>195</v>
      </c>
    </row>
    <row r="12" spans="1:13" ht="32" customHeight="1">
      <c r="A12" s="10" t="s">
        <v>196</v>
      </c>
      <c r="B12" s="10" t="s">
        <v>197</v>
      </c>
      <c r="C12" s="10" t="s">
        <v>198</v>
      </c>
      <c r="D12" s="10" t="s">
        <v>198</v>
      </c>
      <c r="E12" s="10" t="s">
        <v>1</v>
      </c>
      <c r="F12" s="15">
        <v>9</v>
      </c>
      <c r="G12" s="10" t="s">
        <v>6</v>
      </c>
      <c r="H12" s="10" t="s">
        <v>10</v>
      </c>
      <c r="I12" s="10" t="s">
        <v>15</v>
      </c>
      <c r="J12" s="10" t="s">
        <v>20</v>
      </c>
      <c r="K12" s="10" t="s">
        <v>14</v>
      </c>
      <c r="L12" s="10" t="s">
        <v>26</v>
      </c>
      <c r="M12" s="10" t="s">
        <v>199</v>
      </c>
    </row>
    <row r="13" spans="1:13" ht="32" customHeight="1">
      <c r="A13" s="9" t="s">
        <v>200</v>
      </c>
      <c r="B13" s="9" t="s">
        <v>201</v>
      </c>
      <c r="C13" s="9" t="s">
        <v>202</v>
      </c>
      <c r="D13" s="9" t="s">
        <v>198</v>
      </c>
      <c r="E13" s="9" t="s">
        <v>1</v>
      </c>
      <c r="F13" s="14">
        <v>2.5</v>
      </c>
      <c r="G13" s="9" t="s">
        <v>6</v>
      </c>
      <c r="H13" s="9" t="s">
        <v>9</v>
      </c>
      <c r="I13" s="9" t="s">
        <v>16</v>
      </c>
      <c r="J13" s="9" t="s">
        <v>18</v>
      </c>
      <c r="K13" s="9" t="s">
        <v>14</v>
      </c>
      <c r="L13" s="9" t="s">
        <v>27</v>
      </c>
      <c r="M13" s="9" t="s">
        <v>203</v>
      </c>
    </row>
    <row r="14" spans="1:13" ht="32" customHeight="1">
      <c r="A14" s="10" t="s">
        <v>204</v>
      </c>
      <c r="B14" s="10" t="s">
        <v>205</v>
      </c>
      <c r="C14" s="10" t="s">
        <v>206</v>
      </c>
      <c r="D14" s="10" t="s">
        <v>186</v>
      </c>
      <c r="E14" s="10" t="s">
        <v>1</v>
      </c>
      <c r="F14" s="15">
        <v>6</v>
      </c>
      <c r="G14" s="10" t="s">
        <v>5</v>
      </c>
      <c r="H14" s="10" t="s">
        <v>11</v>
      </c>
      <c r="I14" s="10" t="s">
        <v>16</v>
      </c>
      <c r="J14" s="10" t="s">
        <v>21</v>
      </c>
      <c r="K14" s="10" t="s">
        <v>14</v>
      </c>
      <c r="L14" s="10" t="s">
        <v>26</v>
      </c>
      <c r="M14" s="10" t="s">
        <v>207</v>
      </c>
    </row>
    <row r="15" spans="1:13" ht="32" customHeight="1">
      <c r="A15" s="9" t="s">
        <v>208</v>
      </c>
      <c r="B15" s="9" t="s">
        <v>209</v>
      </c>
      <c r="C15" s="9" t="s">
        <v>210</v>
      </c>
      <c r="D15" s="9" t="s">
        <v>92</v>
      </c>
      <c r="E15" s="9" t="s">
        <v>1</v>
      </c>
      <c r="F15" s="14">
        <v>5.5</v>
      </c>
      <c r="G15" s="9" t="s">
        <v>6</v>
      </c>
      <c r="H15" s="9" t="s">
        <v>10</v>
      </c>
      <c r="I15" s="9" t="s">
        <v>15</v>
      </c>
      <c r="J15" s="9" t="s">
        <v>18</v>
      </c>
      <c r="K15" s="9" t="s">
        <v>14</v>
      </c>
      <c r="L15" s="9" t="s">
        <v>26</v>
      </c>
      <c r="M15" s="9" t="s">
        <v>211</v>
      </c>
    </row>
    <row r="16" spans="1:13" ht="32" customHeight="1">
      <c r="A16" s="10" t="s">
        <v>212</v>
      </c>
      <c r="B16" s="10" t="s">
        <v>213</v>
      </c>
      <c r="C16" s="10" t="s">
        <v>214</v>
      </c>
      <c r="D16" s="10" t="s">
        <v>96</v>
      </c>
      <c r="E16" s="10" t="s">
        <v>2</v>
      </c>
      <c r="F16" s="15">
        <v>3</v>
      </c>
      <c r="G16" s="10" t="s">
        <v>5</v>
      </c>
      <c r="H16" s="10" t="s">
        <v>11</v>
      </c>
      <c r="I16" s="10" t="s">
        <v>16</v>
      </c>
      <c r="J16" s="10" t="s">
        <v>18</v>
      </c>
      <c r="K16" s="10" t="s">
        <v>14</v>
      </c>
      <c r="L16" s="10" t="s">
        <v>28</v>
      </c>
      <c r="M16" s="10" t="s">
        <v>215</v>
      </c>
    </row>
    <row r="17" spans="1:13" ht="32" customHeight="1">
      <c r="A17" s="9" t="s">
        <v>216</v>
      </c>
      <c r="B17" s="9" t="s">
        <v>217</v>
      </c>
      <c r="C17" s="9" t="s">
        <v>218</v>
      </c>
      <c r="D17" s="9" t="s">
        <v>96</v>
      </c>
      <c r="E17" s="9" t="s">
        <v>2</v>
      </c>
      <c r="F17" s="14">
        <v>2</v>
      </c>
      <c r="G17" s="9" t="s">
        <v>7</v>
      </c>
      <c r="H17" s="9" t="s">
        <v>12</v>
      </c>
      <c r="I17" s="9" t="s">
        <v>16</v>
      </c>
      <c r="J17" s="9" t="s">
        <v>21</v>
      </c>
      <c r="K17" s="9" t="s">
        <v>14</v>
      </c>
      <c r="L17" s="9" t="s">
        <v>30</v>
      </c>
      <c r="M17" s="9" t="s">
        <v>219</v>
      </c>
    </row>
    <row r="18" spans="1:13" ht="32" customHeight="1">
      <c r="A18" s="10" t="s">
        <v>220</v>
      </c>
      <c r="B18" s="10" t="s">
        <v>221</v>
      </c>
      <c r="C18" s="10" t="s">
        <v>222</v>
      </c>
      <c r="D18" s="10" t="s">
        <v>223</v>
      </c>
      <c r="E18" s="10" t="s">
        <v>2</v>
      </c>
      <c r="F18" s="15">
        <v>4</v>
      </c>
      <c r="G18" s="10" t="s">
        <v>4</v>
      </c>
      <c r="H18" s="10" t="s">
        <v>11</v>
      </c>
      <c r="I18" s="10" t="s">
        <v>15</v>
      </c>
      <c r="J18" s="10" t="s">
        <v>22</v>
      </c>
      <c r="K18" s="10" t="s">
        <v>14</v>
      </c>
      <c r="L18" s="10" t="s">
        <v>28</v>
      </c>
      <c r="M18" s="10" t="s">
        <v>224</v>
      </c>
    </row>
    <row r="19" spans="1:13" ht="32" customHeight="1">
      <c r="A19" s="9" t="s">
        <v>225</v>
      </c>
      <c r="B19" s="9" t="s">
        <v>226</v>
      </c>
      <c r="C19" s="9" t="s">
        <v>227</v>
      </c>
      <c r="D19" s="9" t="s">
        <v>223</v>
      </c>
      <c r="E19" s="9" t="s">
        <v>2</v>
      </c>
      <c r="F19" s="14">
        <v>1.5</v>
      </c>
      <c r="G19" s="9" t="s">
        <v>5</v>
      </c>
      <c r="H19" s="9" t="s">
        <v>11</v>
      </c>
      <c r="I19" s="9" t="s">
        <v>16</v>
      </c>
      <c r="J19" s="9" t="s">
        <v>19</v>
      </c>
      <c r="K19" s="9" t="s">
        <v>24</v>
      </c>
      <c r="L19" s="9" t="s">
        <v>28</v>
      </c>
      <c r="M19" s="9" t="s">
        <v>228</v>
      </c>
    </row>
    <row r="20" spans="1:13" ht="32" customHeight="1">
      <c r="A20" s="10" t="s">
        <v>229</v>
      </c>
      <c r="B20" s="10" t="s">
        <v>230</v>
      </c>
      <c r="C20" s="10" t="s">
        <v>231</v>
      </c>
      <c r="D20" s="10" t="s">
        <v>100</v>
      </c>
      <c r="E20" s="10" t="s">
        <v>2</v>
      </c>
      <c r="F20" s="15">
        <v>5</v>
      </c>
      <c r="G20" s="10" t="s">
        <v>6</v>
      </c>
      <c r="H20" s="10" t="s">
        <v>10</v>
      </c>
      <c r="I20" s="10" t="s">
        <v>16</v>
      </c>
      <c r="J20" s="10" t="s">
        <v>18</v>
      </c>
      <c r="K20" s="10" t="s">
        <v>14</v>
      </c>
      <c r="L20" s="10" t="s">
        <v>28</v>
      </c>
      <c r="M20" s="10" t="s">
        <v>232</v>
      </c>
    </row>
    <row r="21" spans="1:13" ht="32" customHeight="1">
      <c r="A21" s="9" t="s">
        <v>233</v>
      </c>
      <c r="B21" s="9" t="s">
        <v>234</v>
      </c>
      <c r="C21" s="9" t="s">
        <v>235</v>
      </c>
      <c r="D21" s="9" t="s">
        <v>100</v>
      </c>
      <c r="E21" s="9" t="s">
        <v>2</v>
      </c>
      <c r="F21" s="14">
        <v>3.5</v>
      </c>
      <c r="G21" s="9" t="s">
        <v>7</v>
      </c>
      <c r="H21" s="9" t="s">
        <v>11</v>
      </c>
      <c r="I21" s="9" t="s">
        <v>16</v>
      </c>
      <c r="J21" s="9" t="s">
        <v>21</v>
      </c>
      <c r="K21" s="9" t="s">
        <v>14</v>
      </c>
      <c r="L21" s="9" t="s">
        <v>30</v>
      </c>
      <c r="M21" s="9" t="s">
        <v>236</v>
      </c>
    </row>
    <row r="22" spans="1:13" ht="32" customHeight="1">
      <c r="A22" s="10" t="s">
        <v>237</v>
      </c>
      <c r="B22" s="10" t="s">
        <v>238</v>
      </c>
      <c r="C22" s="10" t="s">
        <v>239</v>
      </c>
      <c r="D22" s="10" t="s">
        <v>240</v>
      </c>
      <c r="E22" s="10" t="s">
        <v>2</v>
      </c>
      <c r="F22" s="15">
        <v>6</v>
      </c>
      <c r="G22" s="10" t="s">
        <v>5</v>
      </c>
      <c r="H22" s="10" t="s">
        <v>11</v>
      </c>
      <c r="I22" s="10" t="s">
        <v>15</v>
      </c>
      <c r="J22" s="10" t="s">
        <v>20</v>
      </c>
      <c r="K22" s="10" t="s">
        <v>14</v>
      </c>
      <c r="L22" s="10" t="s">
        <v>28</v>
      </c>
      <c r="M22" s="10" t="s">
        <v>241</v>
      </c>
    </row>
    <row r="23" spans="1:13" ht="32" customHeight="1">
      <c r="A23" s="9" t="s">
        <v>242</v>
      </c>
      <c r="B23" s="9" t="s">
        <v>243</v>
      </c>
      <c r="C23" s="9" t="s">
        <v>244</v>
      </c>
      <c r="D23" s="9" t="s">
        <v>240</v>
      </c>
      <c r="E23" s="9" t="s">
        <v>2</v>
      </c>
      <c r="F23" s="14">
        <v>2.5</v>
      </c>
      <c r="G23" s="9" t="s">
        <v>6</v>
      </c>
      <c r="H23" s="9" t="s">
        <v>10</v>
      </c>
      <c r="I23" s="9" t="s">
        <v>16</v>
      </c>
      <c r="J23" s="9" t="s">
        <v>19</v>
      </c>
      <c r="K23" s="9" t="s">
        <v>24</v>
      </c>
      <c r="L23" s="9" t="s">
        <v>27</v>
      </c>
      <c r="M23" s="9" t="s">
        <v>245</v>
      </c>
    </row>
    <row r="24" spans="1:13" ht="32" customHeight="1">
      <c r="A24" s="10" t="s">
        <v>246</v>
      </c>
      <c r="B24" s="10" t="s">
        <v>247</v>
      </c>
      <c r="C24" s="10" t="s">
        <v>248</v>
      </c>
      <c r="D24" s="10" t="s">
        <v>223</v>
      </c>
      <c r="E24" s="10" t="s">
        <v>2</v>
      </c>
      <c r="F24" s="15">
        <v>4</v>
      </c>
      <c r="G24" s="10" t="s">
        <v>4</v>
      </c>
      <c r="H24" s="10" t="s">
        <v>11</v>
      </c>
      <c r="I24" s="10" t="s">
        <v>14</v>
      </c>
      <c r="J24" s="10" t="s">
        <v>22</v>
      </c>
      <c r="K24" s="10" t="s">
        <v>14</v>
      </c>
      <c r="L24" s="10" t="s">
        <v>28</v>
      </c>
      <c r="M24" s="10" t="s">
        <v>249</v>
      </c>
    </row>
    <row r="25" spans="1:13" ht="32" customHeight="1">
      <c r="A25" s="9" t="s">
        <v>250</v>
      </c>
      <c r="B25" s="9" t="s">
        <v>251</v>
      </c>
      <c r="C25" s="9" t="s">
        <v>252</v>
      </c>
      <c r="D25" s="9" t="s">
        <v>96</v>
      </c>
      <c r="E25" s="9" t="s">
        <v>2</v>
      </c>
      <c r="F25" s="14">
        <v>5</v>
      </c>
      <c r="G25" s="9" t="s">
        <v>5</v>
      </c>
      <c r="H25" s="9" t="s">
        <v>11</v>
      </c>
      <c r="I25" s="9" t="s">
        <v>16</v>
      </c>
      <c r="J25" s="9" t="s">
        <v>18</v>
      </c>
      <c r="K25" s="9" t="s">
        <v>14</v>
      </c>
      <c r="L25" s="9" t="s">
        <v>30</v>
      </c>
      <c r="M25" s="9" t="s">
        <v>253</v>
      </c>
    </row>
    <row r="26" spans="1:13" ht="22" customHeight="1">
      <c r="A26" s="16"/>
      <c r="B26" s="16"/>
      <c r="C26" s="16"/>
      <c r="D26" s="16"/>
      <c r="E26" s="16"/>
      <c r="F26" s="17"/>
      <c r="G26" s="16"/>
      <c r="H26" s="16"/>
      <c r="I26" s="16"/>
      <c r="J26" s="16"/>
      <c r="K26" s="16"/>
      <c r="L26" s="16"/>
      <c r="M26" s="16"/>
    </row>
    <row r="27" spans="1:13" ht="22" customHeight="1">
      <c r="A27" s="16"/>
      <c r="B27" s="16"/>
      <c r="C27" s="16"/>
      <c r="D27" s="16"/>
      <c r="E27" s="16"/>
      <c r="F27" s="17"/>
      <c r="G27" s="16"/>
      <c r="H27" s="16"/>
      <c r="I27" s="16"/>
      <c r="J27" s="16"/>
      <c r="K27" s="16"/>
      <c r="L27" s="16"/>
      <c r="M27" s="16"/>
    </row>
    <row r="28" spans="1:13" ht="22" customHeight="1">
      <c r="A28" s="16"/>
      <c r="B28" s="16"/>
      <c r="C28" s="16"/>
      <c r="D28" s="16"/>
      <c r="E28" s="16"/>
      <c r="F28" s="17"/>
      <c r="G28" s="16"/>
      <c r="H28" s="16"/>
      <c r="I28" s="16"/>
      <c r="J28" s="16"/>
      <c r="K28" s="16"/>
      <c r="L28" s="16"/>
      <c r="M28" s="16"/>
    </row>
    <row r="29" spans="1:13" ht="22" customHeight="1">
      <c r="A29" s="16"/>
      <c r="B29" s="16"/>
      <c r="C29" s="16"/>
      <c r="D29" s="16"/>
      <c r="E29" s="16"/>
      <c r="F29" s="17"/>
      <c r="G29" s="16"/>
      <c r="H29" s="16"/>
      <c r="I29" s="16"/>
      <c r="J29" s="16"/>
      <c r="K29" s="16"/>
      <c r="L29" s="16"/>
      <c r="M29" s="16"/>
    </row>
    <row r="30" spans="1:13" ht="22" customHeight="1">
      <c r="A30" s="16"/>
      <c r="B30" s="16"/>
      <c r="C30" s="16"/>
      <c r="D30" s="16"/>
      <c r="E30" s="16"/>
      <c r="F30" s="17"/>
      <c r="G30" s="16"/>
      <c r="H30" s="16"/>
      <c r="I30" s="16"/>
      <c r="J30" s="16"/>
      <c r="K30" s="16"/>
      <c r="L30" s="16"/>
      <c r="M30" s="16"/>
    </row>
    <row r="31" spans="1:13" ht="22" customHeight="1">
      <c r="A31" s="16"/>
      <c r="B31" s="16"/>
      <c r="C31" s="16"/>
      <c r="D31" s="16"/>
      <c r="E31" s="16"/>
      <c r="F31" s="17"/>
      <c r="G31" s="16"/>
      <c r="H31" s="16"/>
      <c r="I31" s="16"/>
      <c r="J31" s="16"/>
      <c r="K31" s="16"/>
      <c r="L31" s="16"/>
      <c r="M31" s="16"/>
    </row>
    <row r="32" spans="1:13" ht="22" customHeight="1">
      <c r="A32" s="16"/>
      <c r="B32" s="16"/>
      <c r="C32" s="16"/>
      <c r="D32" s="16"/>
      <c r="E32" s="16"/>
      <c r="F32" s="17"/>
      <c r="G32" s="16"/>
      <c r="H32" s="16"/>
      <c r="I32" s="16"/>
      <c r="J32" s="16"/>
      <c r="K32" s="16"/>
      <c r="L32" s="16"/>
      <c r="M32" s="16"/>
    </row>
    <row r="33" spans="1:13" ht="22" customHeight="1">
      <c r="A33" s="16"/>
      <c r="B33" s="16"/>
      <c r="C33" s="16"/>
      <c r="D33" s="16"/>
      <c r="E33" s="16"/>
      <c r="F33" s="17"/>
      <c r="G33" s="16"/>
      <c r="H33" s="16"/>
      <c r="I33" s="16"/>
      <c r="J33" s="16"/>
      <c r="K33" s="16"/>
      <c r="L33" s="16"/>
      <c r="M33" s="16"/>
    </row>
    <row r="34" spans="1:13" ht="22" customHeight="1">
      <c r="A34" s="16"/>
      <c r="B34" s="16"/>
      <c r="C34" s="16"/>
      <c r="D34" s="16"/>
      <c r="E34" s="16"/>
      <c r="F34" s="17"/>
      <c r="G34" s="16"/>
      <c r="H34" s="16"/>
      <c r="I34" s="16"/>
      <c r="J34" s="16"/>
      <c r="K34" s="16"/>
      <c r="L34" s="16"/>
      <c r="M34" s="16"/>
    </row>
    <row r="35" spans="1:13" ht="22" customHeight="1">
      <c r="A35" s="16"/>
      <c r="B35" s="16"/>
      <c r="C35" s="16"/>
      <c r="D35" s="16"/>
      <c r="E35" s="16"/>
      <c r="F35" s="17"/>
      <c r="G35" s="16"/>
      <c r="H35" s="16"/>
      <c r="I35" s="16"/>
      <c r="J35" s="16"/>
      <c r="K35" s="16"/>
      <c r="L35" s="16"/>
      <c r="M35" s="16"/>
    </row>
    <row r="36" spans="1:13" ht="22" customHeight="1">
      <c r="A36" s="16"/>
      <c r="B36" s="16"/>
      <c r="C36" s="16"/>
      <c r="D36" s="16"/>
      <c r="E36" s="16"/>
      <c r="F36" s="17"/>
      <c r="G36" s="16"/>
      <c r="H36" s="16"/>
      <c r="I36" s="16"/>
      <c r="J36" s="16"/>
      <c r="K36" s="16"/>
      <c r="L36" s="16"/>
      <c r="M36" s="16"/>
    </row>
    <row r="37" spans="1:13" ht="22" customHeight="1">
      <c r="A37" s="16"/>
      <c r="B37" s="16"/>
      <c r="C37" s="16"/>
      <c r="D37" s="16"/>
      <c r="E37" s="16"/>
      <c r="F37" s="17"/>
      <c r="G37" s="16"/>
      <c r="H37" s="16"/>
      <c r="I37" s="16"/>
      <c r="J37" s="16"/>
      <c r="K37" s="16"/>
      <c r="L37" s="16"/>
      <c r="M37" s="16"/>
    </row>
    <row r="38" spans="1:13" ht="22" customHeight="1">
      <c r="A38" s="16"/>
      <c r="B38" s="16"/>
      <c r="C38" s="16"/>
      <c r="D38" s="16"/>
      <c r="E38" s="16"/>
      <c r="F38" s="17"/>
      <c r="G38" s="16"/>
      <c r="H38" s="16"/>
      <c r="I38" s="16"/>
      <c r="J38" s="16"/>
      <c r="K38" s="16"/>
      <c r="L38" s="16"/>
      <c r="M38" s="16"/>
    </row>
    <row r="39" spans="1:13" ht="22" customHeight="1">
      <c r="A39" s="16"/>
      <c r="B39" s="16"/>
      <c r="C39" s="16"/>
      <c r="D39" s="16"/>
      <c r="E39" s="16"/>
      <c r="F39" s="17"/>
      <c r="G39" s="16"/>
      <c r="H39" s="16"/>
      <c r="I39" s="16"/>
      <c r="J39" s="16"/>
      <c r="K39" s="16"/>
      <c r="L39" s="16"/>
      <c r="M39" s="16"/>
    </row>
    <row r="40" spans="1:13" ht="22" customHeight="1">
      <c r="A40" s="16"/>
      <c r="B40" s="16"/>
      <c r="C40" s="16"/>
      <c r="D40" s="16"/>
      <c r="E40" s="16"/>
      <c r="F40" s="17"/>
      <c r="G40" s="16"/>
      <c r="H40" s="16"/>
      <c r="I40" s="16"/>
      <c r="J40" s="16"/>
      <c r="K40" s="16"/>
      <c r="L40" s="16"/>
      <c r="M40" s="16"/>
    </row>
    <row r="41" spans="1:13" ht="22" customHeight="1">
      <c r="A41" s="16"/>
      <c r="B41" s="16"/>
      <c r="C41" s="16"/>
      <c r="D41" s="16"/>
      <c r="E41" s="16"/>
      <c r="F41" s="17"/>
      <c r="G41" s="16"/>
      <c r="H41" s="16"/>
      <c r="I41" s="16"/>
      <c r="J41" s="16"/>
      <c r="K41" s="16"/>
      <c r="L41" s="16"/>
      <c r="M41" s="16"/>
    </row>
    <row r="42" spans="1:13" ht="22" customHeight="1">
      <c r="A42" s="16"/>
      <c r="B42" s="16"/>
      <c r="C42" s="16"/>
      <c r="D42" s="16"/>
      <c r="E42" s="16"/>
      <c r="F42" s="17"/>
      <c r="G42" s="16"/>
      <c r="H42" s="16"/>
      <c r="I42" s="16"/>
      <c r="J42" s="16"/>
      <c r="K42" s="16"/>
      <c r="L42" s="16"/>
      <c r="M42" s="16"/>
    </row>
    <row r="43" spans="1:13" ht="22" customHeight="1">
      <c r="A43" s="16"/>
      <c r="B43" s="16"/>
      <c r="C43" s="16"/>
      <c r="D43" s="16"/>
      <c r="E43" s="16"/>
      <c r="F43" s="17"/>
      <c r="G43" s="16"/>
      <c r="H43" s="16"/>
      <c r="I43" s="16"/>
      <c r="J43" s="16"/>
      <c r="K43" s="16"/>
      <c r="L43" s="16"/>
      <c r="M43" s="16"/>
    </row>
    <row r="44" spans="1:13" ht="22" customHeight="1">
      <c r="A44" s="16"/>
      <c r="B44" s="16"/>
      <c r="C44" s="16"/>
      <c r="D44" s="16"/>
      <c r="E44" s="16"/>
      <c r="F44" s="17"/>
      <c r="G44" s="16"/>
      <c r="H44" s="16"/>
      <c r="I44" s="16"/>
      <c r="J44" s="16"/>
      <c r="K44" s="16"/>
      <c r="L44" s="16"/>
      <c r="M44" s="16"/>
    </row>
    <row r="45" spans="1:13" ht="22" customHeight="1">
      <c r="A45" s="16"/>
      <c r="B45" s="16"/>
      <c r="C45" s="16"/>
      <c r="D45" s="16"/>
      <c r="E45" s="16"/>
      <c r="F45" s="17"/>
      <c r="G45" s="16"/>
      <c r="H45" s="16"/>
      <c r="I45" s="16"/>
      <c r="J45" s="16"/>
      <c r="K45" s="16"/>
      <c r="L45" s="16"/>
      <c r="M45" s="16"/>
    </row>
    <row r="46" spans="1:13" ht="22" customHeight="1">
      <c r="A46" s="16"/>
      <c r="B46" s="16"/>
      <c r="C46" s="16"/>
      <c r="D46" s="16"/>
      <c r="E46" s="16"/>
      <c r="F46" s="17"/>
      <c r="G46" s="16"/>
      <c r="H46" s="16"/>
      <c r="I46" s="16"/>
      <c r="J46" s="16"/>
      <c r="K46" s="16"/>
      <c r="L46" s="16"/>
      <c r="M46" s="16"/>
    </row>
    <row r="47" spans="1:13" ht="22" customHeight="1">
      <c r="A47" s="16"/>
      <c r="B47" s="16"/>
      <c r="C47" s="16"/>
      <c r="D47" s="16"/>
      <c r="E47" s="16"/>
      <c r="F47" s="17"/>
      <c r="G47" s="16"/>
      <c r="H47" s="16"/>
      <c r="I47" s="16"/>
      <c r="J47" s="16"/>
      <c r="K47" s="16"/>
      <c r="L47" s="16"/>
      <c r="M47" s="16"/>
    </row>
    <row r="48" spans="1:13" ht="22" customHeight="1">
      <c r="A48" s="16"/>
      <c r="B48" s="16"/>
      <c r="C48" s="16"/>
      <c r="D48" s="16"/>
      <c r="E48" s="16"/>
      <c r="F48" s="17"/>
      <c r="G48" s="16"/>
      <c r="H48" s="16"/>
      <c r="I48" s="16"/>
      <c r="J48" s="16"/>
      <c r="K48" s="16"/>
      <c r="L48" s="16"/>
      <c r="M48" s="16"/>
    </row>
    <row r="49" spans="1:13" ht="22" customHeight="1">
      <c r="A49" s="16"/>
      <c r="B49" s="16"/>
      <c r="C49" s="16"/>
      <c r="D49" s="16"/>
      <c r="E49" s="16"/>
      <c r="F49" s="17"/>
      <c r="G49" s="16"/>
      <c r="H49" s="16"/>
      <c r="I49" s="16"/>
      <c r="J49" s="16"/>
      <c r="K49" s="16"/>
      <c r="L49" s="16"/>
      <c r="M49" s="16"/>
    </row>
    <row r="50" spans="1:13" ht="22" customHeight="1">
      <c r="A50" s="16"/>
      <c r="B50" s="16"/>
      <c r="C50" s="16"/>
      <c r="D50" s="16"/>
      <c r="E50" s="16"/>
      <c r="F50" s="17"/>
      <c r="G50" s="16"/>
      <c r="H50" s="16"/>
      <c r="I50" s="16"/>
      <c r="J50" s="16"/>
      <c r="K50" s="16"/>
      <c r="L50" s="16"/>
      <c r="M50" s="16"/>
    </row>
    <row r="51" spans="1:13" ht="22" customHeight="1">
      <c r="A51" s="16"/>
      <c r="B51" s="16"/>
      <c r="C51" s="16"/>
      <c r="D51" s="16"/>
      <c r="E51" s="16"/>
      <c r="F51" s="17"/>
      <c r="G51" s="16"/>
      <c r="H51" s="16"/>
      <c r="I51" s="16"/>
      <c r="J51" s="16"/>
      <c r="K51" s="16"/>
      <c r="L51" s="16"/>
      <c r="M51" s="16"/>
    </row>
    <row r="52" spans="1:13" ht="22" customHeight="1">
      <c r="A52" s="16"/>
      <c r="B52" s="16"/>
      <c r="C52" s="16"/>
      <c r="D52" s="16"/>
      <c r="E52" s="16"/>
      <c r="F52" s="17"/>
      <c r="G52" s="16"/>
      <c r="H52" s="16"/>
      <c r="I52" s="16"/>
      <c r="J52" s="16"/>
      <c r="K52" s="16"/>
      <c r="L52" s="16"/>
      <c r="M52" s="16"/>
    </row>
    <row r="53" spans="1:13" ht="22" customHeight="1">
      <c r="A53" s="16"/>
      <c r="B53" s="16"/>
      <c r="C53" s="16"/>
      <c r="D53" s="16"/>
      <c r="E53" s="16"/>
      <c r="F53" s="17"/>
      <c r="G53" s="16"/>
      <c r="H53" s="16"/>
      <c r="I53" s="16"/>
      <c r="J53" s="16"/>
      <c r="K53" s="16"/>
      <c r="L53" s="16"/>
      <c r="M53" s="16"/>
    </row>
    <row r="54" spans="1:13" ht="22" customHeight="1">
      <c r="A54" s="16"/>
      <c r="B54" s="16"/>
      <c r="C54" s="16"/>
      <c r="D54" s="16"/>
      <c r="E54" s="16"/>
      <c r="F54" s="17"/>
      <c r="G54" s="16"/>
      <c r="H54" s="16"/>
      <c r="I54" s="16"/>
      <c r="J54" s="16"/>
      <c r="K54" s="16"/>
      <c r="L54" s="16"/>
      <c r="M54" s="16"/>
    </row>
    <row r="55" spans="1:13" ht="22" customHeight="1">
      <c r="A55" s="16"/>
      <c r="B55" s="16"/>
      <c r="C55" s="16"/>
      <c r="D55" s="16"/>
      <c r="E55" s="16"/>
      <c r="F55" s="17"/>
      <c r="G55" s="16"/>
      <c r="H55" s="16"/>
      <c r="I55" s="16"/>
      <c r="J55" s="16"/>
      <c r="K55" s="16"/>
      <c r="L55" s="16"/>
      <c r="M55" s="16"/>
    </row>
  </sheetData>
  <autoFilter ref="A4:M54"/>
  <mergeCells count="2">
    <mergeCell ref="A1:M1"/>
    <mergeCell ref="A2:M2"/>
  </mergeCells>
  <dataValidations count="7">
    <dataValidation type="list" allowBlank="1" showInputMessage="1" showErrorMessage="1" sqref="E5:E54">
      <formula1>Lists!$A$2:$A$3</formula1>
    </dataValidation>
    <dataValidation type="list" allowBlank="1" showInputMessage="1" showErrorMessage="1" sqref="G5:G54">
      <formula1>Lists!$B$2:$B$5</formula1>
    </dataValidation>
    <dataValidation type="list" allowBlank="1" showInputMessage="1" showErrorMessage="1" sqref="H5:H54">
      <formula1>Lists!$C$2:$C$5</formula1>
    </dataValidation>
    <dataValidation type="list" allowBlank="1" showInputMessage="1" showErrorMessage="1" sqref="I5:I54">
      <formula1>Lists!$D$2:$D$4</formula1>
    </dataValidation>
    <dataValidation type="list" allowBlank="1" showInputMessage="1" showErrorMessage="1" sqref="J5:J54">
      <formula1>Lists!$E$2:$E$6</formula1>
    </dataValidation>
    <dataValidation type="list" allowBlank="1" showInputMessage="1" showErrorMessage="1" sqref="K5:K54">
      <formula1>Lists!$F$2:$F$4</formula1>
    </dataValidation>
    <dataValidation type="list" allowBlank="1" showInputMessage="1" showErrorMessage="1" sqref="L5:L54">
      <formula1>Lists!$G$2:$G$6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5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8" customHeight="1"/>
  <cols>
    <col min="1" max="1" width="8.7109375" customWidth="1"/>
    <col min="2" max="2" width="16.7109375" customWidth="1"/>
    <col min="3" max="3" width="24.7109375" customWidth="1"/>
    <col min="4" max="4" width="22.7109375" customWidth="1"/>
    <col min="5" max="6" width="14.7109375" customWidth="1"/>
    <col min="7" max="7" width="16.7109375" customWidth="1"/>
    <col min="8" max="8" width="20.7109375" customWidth="1"/>
    <col min="9" max="9" width="38.7109375" customWidth="1"/>
    <col min="10" max="10" width="30.7109375" customWidth="1"/>
    <col min="11" max="11" width="42.7109375" customWidth="1"/>
  </cols>
  <sheetData>
    <row r="1" spans="1:11" ht="32" customHeight="1">
      <c r="A1" s="1" t="s">
        <v>254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8" customHeight="1">
      <c r="A2" s="2" t="s">
        <v>255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 ht="32" customHeight="1">
      <c r="A4" s="8" t="s">
        <v>83</v>
      </c>
      <c r="B4" s="8" t="s">
        <v>84</v>
      </c>
      <c r="C4" s="8" t="s">
        <v>256</v>
      </c>
      <c r="D4" s="8" t="s">
        <v>257</v>
      </c>
      <c r="E4" s="8" t="s">
        <v>87</v>
      </c>
      <c r="F4" s="8" t="s">
        <v>88</v>
      </c>
      <c r="G4" s="8" t="s">
        <v>137</v>
      </c>
      <c r="H4" s="8" t="s">
        <v>258</v>
      </c>
      <c r="I4" s="8" t="s">
        <v>259</v>
      </c>
      <c r="J4" s="8" t="s">
        <v>260</v>
      </c>
      <c r="K4" s="8" t="s">
        <v>261</v>
      </c>
    </row>
    <row r="5" spans="1:11" ht="36" customHeight="1">
      <c r="A5" s="9" t="s">
        <v>262</v>
      </c>
      <c r="B5" s="9" t="s">
        <v>263</v>
      </c>
      <c r="C5" s="9" t="s">
        <v>264</v>
      </c>
      <c r="D5" s="9" t="s">
        <v>265</v>
      </c>
      <c r="E5" s="9" t="s">
        <v>266</v>
      </c>
      <c r="F5" s="9" t="s">
        <v>1</v>
      </c>
      <c r="G5" s="9" t="s">
        <v>32</v>
      </c>
      <c r="H5" s="9" t="s">
        <v>39</v>
      </c>
      <c r="I5" s="9" t="s">
        <v>44</v>
      </c>
      <c r="J5" s="9" t="s">
        <v>47</v>
      </c>
      <c r="K5" s="9" t="s">
        <v>267</v>
      </c>
    </row>
    <row r="6" spans="1:11" ht="36" customHeight="1">
      <c r="A6" s="10" t="s">
        <v>268</v>
      </c>
      <c r="B6" s="10" t="s">
        <v>269</v>
      </c>
      <c r="C6" s="10" t="s">
        <v>270</v>
      </c>
      <c r="D6" s="10" t="s">
        <v>271</v>
      </c>
      <c r="E6" s="10" t="s">
        <v>92</v>
      </c>
      <c r="F6" s="10" t="s">
        <v>1</v>
      </c>
      <c r="G6" s="10" t="s">
        <v>33</v>
      </c>
      <c r="H6" s="10" t="s">
        <v>39</v>
      </c>
      <c r="I6" s="10" t="s">
        <v>45</v>
      </c>
      <c r="J6" s="10" t="s">
        <v>14</v>
      </c>
      <c r="K6" s="10" t="s">
        <v>272</v>
      </c>
    </row>
    <row r="7" spans="1:11" ht="36" customHeight="1">
      <c r="A7" s="9" t="s">
        <v>273</v>
      </c>
      <c r="B7" s="9" t="s">
        <v>274</v>
      </c>
      <c r="C7" s="9" t="s">
        <v>275</v>
      </c>
      <c r="D7" s="9" t="s">
        <v>276</v>
      </c>
      <c r="E7" s="9" t="s">
        <v>186</v>
      </c>
      <c r="F7" s="9" t="s">
        <v>1</v>
      </c>
      <c r="G7" s="9" t="s">
        <v>35</v>
      </c>
      <c r="H7" s="9" t="s">
        <v>38</v>
      </c>
      <c r="I7" s="9" t="s">
        <v>44</v>
      </c>
      <c r="J7" s="9" t="s">
        <v>14</v>
      </c>
      <c r="K7" s="9" t="s">
        <v>277</v>
      </c>
    </row>
    <row r="8" spans="1:11" ht="36" customHeight="1">
      <c r="A8" s="10" t="s">
        <v>278</v>
      </c>
      <c r="B8" s="10" t="s">
        <v>279</v>
      </c>
      <c r="C8" s="10" t="s">
        <v>280</v>
      </c>
      <c r="D8" s="10" t="s">
        <v>281</v>
      </c>
      <c r="E8" s="10" t="s">
        <v>100</v>
      </c>
      <c r="F8" s="10" t="s">
        <v>2</v>
      </c>
      <c r="G8" s="10" t="s">
        <v>34</v>
      </c>
      <c r="H8" s="10" t="s">
        <v>40</v>
      </c>
      <c r="I8" s="10" t="s">
        <v>45</v>
      </c>
      <c r="J8" s="10" t="s">
        <v>14</v>
      </c>
      <c r="K8" s="10" t="s">
        <v>282</v>
      </c>
    </row>
    <row r="9" spans="1:11" ht="36" customHeight="1">
      <c r="A9" s="9" t="s">
        <v>283</v>
      </c>
      <c r="B9" s="9" t="s">
        <v>284</v>
      </c>
      <c r="C9" s="9" t="s">
        <v>285</v>
      </c>
      <c r="D9" s="9" t="s">
        <v>286</v>
      </c>
      <c r="E9" s="9" t="s">
        <v>223</v>
      </c>
      <c r="F9" s="9" t="s">
        <v>2</v>
      </c>
      <c r="G9" s="9" t="s">
        <v>33</v>
      </c>
      <c r="H9" s="9" t="s">
        <v>40</v>
      </c>
      <c r="I9" s="9" t="s">
        <v>44</v>
      </c>
      <c r="J9" s="9" t="s">
        <v>47</v>
      </c>
      <c r="K9" s="9" t="s">
        <v>287</v>
      </c>
    </row>
    <row r="10" spans="1:11" ht="22" customHeight="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22" customHeight="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22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22" customHeight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22" customHeigh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22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22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22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22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22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22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 ht="22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 ht="22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 ht="22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 ht="22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 ht="22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</sheetData>
  <autoFilter ref="A4:K24"/>
  <mergeCells count="2">
    <mergeCell ref="A1:K1"/>
    <mergeCell ref="A2:K2"/>
  </mergeCells>
  <dataValidations count="5">
    <dataValidation type="list" allowBlank="1" showInputMessage="1" showErrorMessage="1" sqref="F5:F24">
      <formula1>Lists!$A$2:$A$3</formula1>
    </dataValidation>
    <dataValidation type="list" allowBlank="1" showInputMessage="1" showErrorMessage="1" sqref="G5:G24">
      <formula1>Lists!$H$2:$H$6</formula1>
    </dataValidation>
    <dataValidation type="list" allowBlank="1" showInputMessage="1" showErrorMessage="1" sqref="H5:H24">
      <formula1>Lists!$I$2:$I$5</formula1>
    </dataValidation>
    <dataValidation type="list" allowBlank="1" showInputMessage="1" showErrorMessage="1" sqref="I5:I24">
      <formula1>Lists!$J$2:$J$4</formula1>
    </dataValidation>
    <dataValidation type="list" allowBlank="1" showInputMessage="1" showErrorMessage="1" sqref="J5:J24">
      <formula1>Lists!$K$2:$K$4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8" customHeight="1"/>
  <cols>
    <col min="1" max="1" width="8.7109375" customWidth="1"/>
    <col min="2" max="2" width="16.7109375" customWidth="1"/>
    <col min="3" max="3" width="42.7109375" customWidth="1"/>
    <col min="4" max="4" width="26.7109375" customWidth="1"/>
    <col min="5" max="6" width="14.7109375" customWidth="1"/>
    <col min="7" max="7" width="28.7109375" customWidth="1"/>
    <col min="8" max="8" width="42.7109375" customWidth="1"/>
    <col min="9" max="9" width="38.7109375" customWidth="1"/>
    <col min="10" max="10" width="42.7109375" customWidth="1"/>
  </cols>
  <sheetData>
    <row r="1" spans="1:10" ht="32" customHeight="1">
      <c r="A1" s="1" t="s">
        <v>288</v>
      </c>
      <c r="B1" s="1"/>
      <c r="C1" s="1"/>
      <c r="D1" s="1"/>
      <c r="E1" s="1"/>
      <c r="F1" s="1"/>
      <c r="G1" s="1"/>
      <c r="H1" s="1"/>
      <c r="I1" s="1"/>
      <c r="J1" s="1"/>
    </row>
    <row r="2" spans="1:10" ht="18" customHeight="1">
      <c r="A2" s="2" t="s">
        <v>289</v>
      </c>
      <c r="B2" s="2"/>
      <c r="C2" s="2"/>
      <c r="D2" s="2"/>
      <c r="E2" s="2"/>
      <c r="F2" s="2"/>
      <c r="G2" s="2"/>
      <c r="H2" s="2"/>
      <c r="I2" s="2"/>
      <c r="J2" s="2"/>
    </row>
    <row r="4" spans="1:10" ht="32" customHeight="1">
      <c r="A4" s="8" t="s">
        <v>83</v>
      </c>
      <c r="B4" s="8" t="s">
        <v>84</v>
      </c>
      <c r="C4" s="8" t="s">
        <v>290</v>
      </c>
      <c r="D4" s="8" t="s">
        <v>86</v>
      </c>
      <c r="E4" s="8" t="s">
        <v>87</v>
      </c>
      <c r="F4" s="8" t="s">
        <v>88</v>
      </c>
      <c r="G4" s="8" t="s">
        <v>291</v>
      </c>
      <c r="H4" s="8" t="s">
        <v>292</v>
      </c>
      <c r="I4" s="8" t="s">
        <v>293</v>
      </c>
      <c r="J4" s="8" t="s">
        <v>294</v>
      </c>
    </row>
    <row r="5" spans="1:10" ht="40" customHeight="1">
      <c r="A5" s="9" t="s">
        <v>89</v>
      </c>
      <c r="B5" s="9" t="s">
        <v>90</v>
      </c>
      <c r="C5" s="9" t="s">
        <v>49</v>
      </c>
      <c r="D5" s="9" t="s">
        <v>91</v>
      </c>
      <c r="E5" s="9" t="s">
        <v>92</v>
      </c>
      <c r="F5" s="9" t="s">
        <v>1</v>
      </c>
      <c r="G5" s="9" t="s">
        <v>55</v>
      </c>
      <c r="H5" s="9" t="s">
        <v>59</v>
      </c>
      <c r="I5" s="9" t="s">
        <v>14</v>
      </c>
      <c r="J5" s="9" t="s">
        <v>295</v>
      </c>
    </row>
    <row r="6" spans="1:10" ht="40" customHeight="1">
      <c r="A6" s="10" t="s">
        <v>93</v>
      </c>
      <c r="B6" s="10" t="s">
        <v>94</v>
      </c>
      <c r="C6" s="10" t="s">
        <v>50</v>
      </c>
      <c r="D6" s="10" t="s">
        <v>95</v>
      </c>
      <c r="E6" s="10" t="s">
        <v>96</v>
      </c>
      <c r="F6" s="10" t="s">
        <v>2</v>
      </c>
      <c r="G6" s="10" t="s">
        <v>57</v>
      </c>
      <c r="H6" s="10" t="s">
        <v>60</v>
      </c>
      <c r="I6" s="10" t="s">
        <v>64</v>
      </c>
      <c r="J6" s="10" t="s">
        <v>296</v>
      </c>
    </row>
    <row r="7" spans="1:10" ht="40" customHeight="1">
      <c r="A7" s="9" t="s">
        <v>97</v>
      </c>
      <c r="B7" s="9" t="s">
        <v>98</v>
      </c>
      <c r="C7" s="9" t="s">
        <v>52</v>
      </c>
      <c r="D7" s="9" t="s">
        <v>99</v>
      </c>
      <c r="E7" s="9" t="s">
        <v>100</v>
      </c>
      <c r="F7" s="9" t="s">
        <v>2</v>
      </c>
      <c r="G7" s="9" t="s">
        <v>54</v>
      </c>
      <c r="H7" s="9" t="s">
        <v>61</v>
      </c>
      <c r="I7" s="9" t="s">
        <v>14</v>
      </c>
      <c r="J7" s="9" t="s">
        <v>297</v>
      </c>
    </row>
    <row r="8" spans="1:10" ht="22" customHeight="1">
      <c r="A8" s="16"/>
      <c r="B8" s="16"/>
      <c r="C8" s="16"/>
      <c r="D8" s="16"/>
      <c r="E8" s="16"/>
      <c r="F8" s="16"/>
      <c r="G8" s="16"/>
      <c r="H8" s="16"/>
      <c r="I8" s="16"/>
      <c r="J8" s="16"/>
    </row>
    <row r="9" spans="1:10" ht="22" customHeight="1">
      <c r="A9" s="16"/>
      <c r="B9" s="16"/>
      <c r="C9" s="16"/>
      <c r="D9" s="16"/>
      <c r="E9" s="16"/>
      <c r="F9" s="16"/>
      <c r="G9" s="16"/>
      <c r="H9" s="16"/>
      <c r="I9" s="16"/>
      <c r="J9" s="16"/>
    </row>
    <row r="10" spans="1:10" ht="22" customHeight="1">
      <c r="A10" s="16"/>
      <c r="B10" s="16"/>
      <c r="C10" s="16"/>
      <c r="D10" s="16"/>
      <c r="E10" s="16"/>
      <c r="F10" s="16"/>
      <c r="G10" s="16"/>
      <c r="H10" s="16"/>
      <c r="I10" s="16"/>
      <c r="J10" s="16"/>
    </row>
    <row r="11" spans="1:10" ht="22" customHeight="1">
      <c r="A11" s="16"/>
      <c r="B11" s="16"/>
      <c r="C11" s="16"/>
      <c r="D11" s="16"/>
      <c r="E11" s="16"/>
      <c r="F11" s="16"/>
      <c r="G11" s="16"/>
      <c r="H11" s="16"/>
      <c r="I11" s="16"/>
      <c r="J11" s="16"/>
    </row>
    <row r="12" spans="1:10" ht="22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</row>
    <row r="13" spans="1:10" ht="22" customHeight="1">
      <c r="A13" s="16"/>
      <c r="B13" s="16"/>
      <c r="C13" s="16"/>
      <c r="D13" s="16"/>
      <c r="E13" s="16"/>
      <c r="F13" s="16"/>
      <c r="G13" s="16"/>
      <c r="H13" s="16"/>
      <c r="I13" s="16"/>
      <c r="J13" s="16"/>
    </row>
    <row r="14" spans="1:10" ht="22" customHeight="1">
      <c r="A14" s="16"/>
      <c r="B14" s="16"/>
      <c r="C14" s="16"/>
      <c r="D14" s="16"/>
      <c r="E14" s="16"/>
      <c r="F14" s="16"/>
      <c r="G14" s="16"/>
      <c r="H14" s="16"/>
      <c r="I14" s="16"/>
      <c r="J14" s="16"/>
    </row>
    <row r="15" spans="1:10" ht="22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</row>
    <row r="16" spans="1:10" ht="22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</row>
    <row r="17" spans="1:10" ht="22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</row>
    <row r="18" spans="1:10" ht="22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</row>
    <row r="19" spans="1:10" ht="22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</row>
    <row r="20" spans="1:10" ht="22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</row>
    <row r="21" spans="1:10" ht="22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</row>
    <row r="22" spans="1:10" ht="22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</row>
    <row r="23" spans="1:10" ht="22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</row>
  </sheetData>
  <autoFilter ref="A4:J22"/>
  <mergeCells count="2">
    <mergeCell ref="A1:J1"/>
    <mergeCell ref="A2:J2"/>
  </mergeCells>
  <dataValidations count="5">
    <dataValidation type="list" allowBlank="1" showInputMessage="1" showErrorMessage="1" sqref="C5:C22">
      <formula1>Lists!$L$2:$L$5</formula1>
    </dataValidation>
    <dataValidation type="list" allowBlank="1" showInputMessage="1" showErrorMessage="1" sqref="F5:F22">
      <formula1>Lists!$A$2:$A$3</formula1>
    </dataValidation>
    <dataValidation type="list" allowBlank="1" showInputMessage="1" showErrorMessage="1" sqref="G5:G22">
      <formula1>Lists!$M$2:$M$5</formula1>
    </dataValidation>
    <dataValidation type="list" allowBlank="1" showInputMessage="1" showErrorMessage="1" sqref="H5:H22">
      <formula1>Lists!$N$2:$N$5</formula1>
    </dataValidation>
    <dataValidation type="list" allowBlank="1" showInputMessage="1" showErrorMessage="1" sqref="I5:I22">
      <formula1>Lists!$O$2:$O$4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30"/>
  <sheetViews>
    <sheetView showGridLines="0" workbookViewId="0">
      <pane ySplit="3" topLeftCell="A4" activePane="bottomLeft" state="frozen"/>
      <selection pane="bottomLeft"/>
    </sheetView>
  </sheetViews>
  <sheetFormatPr defaultRowHeight="18" customHeight="1"/>
  <cols>
    <col min="1" max="1" width="44.7109375" customWidth="1"/>
    <col min="2" max="3" width="12.7109375" customWidth="1"/>
    <col min="4" max="4" width="16.7109375" customWidth="1"/>
    <col min="5" max="12" width="14.7109375" customWidth="1"/>
  </cols>
  <sheetData>
    <row r="1" spans="1:12" ht="32" customHeight="1">
      <c r="A1" s="1" t="s">
        <v>298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8" customHeight="1">
      <c r="A2" s="2" t="s">
        <v>299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ht="18" customHeight="1">
      <c r="A4" s="18" t="s">
        <v>300</v>
      </c>
      <c r="B4" s="18"/>
      <c r="C4" s="18" t="s">
        <v>302</v>
      </c>
      <c r="D4" s="18"/>
      <c r="E4" s="18" t="s">
        <v>304</v>
      </c>
      <c r="F4" s="18"/>
      <c r="G4" s="18" t="s">
        <v>306</v>
      </c>
      <c r="H4" s="18"/>
      <c r="I4" s="18" t="s">
        <v>308</v>
      </c>
      <c r="J4" s="18"/>
      <c r="K4" s="18" t="s">
        <v>310</v>
      </c>
      <c r="L4" s="18"/>
    </row>
    <row r="5" spans="1:12" ht="18" customHeight="1">
      <c r="A5" s="5">
        <f>COUNTA(Farmers!B5:B54)</f>
        <v>0</v>
      </c>
      <c r="B5" s="5"/>
      <c r="C5" s="5">
        <f>COUNTIFS(Farmers!B5:B54,"&lt;&gt;",Farmers!E5:E54,"Punjab")</f>
        <v>0</v>
      </c>
      <c r="D5" s="5"/>
      <c r="E5" s="5">
        <f>COUNTIFS(Farmers!B5:B54,"&lt;&gt;",Farmers!E5:E54,"West Bengal")</f>
        <v>0</v>
      </c>
      <c r="F5" s="5"/>
      <c r="G5" s="19">
        <f>IF(COUNTA(Farmers!K5:K54)=0,"",COUNTIF(Farmers!K5:K54,"Yes")/COUNTA(Farmers!K5:K54))</f>
        <v>0</v>
      </c>
      <c r="H5" s="19"/>
      <c r="I5" s="5">
        <f>COUNTA(Buyers!B5:B24)</f>
        <v>0</v>
      </c>
      <c r="J5" s="5"/>
      <c r="K5" s="5">
        <f>COUNTA(Government!B5:B22)</f>
        <v>0</v>
      </c>
      <c r="L5" s="5"/>
    </row>
    <row r="6" spans="1:12" ht="18" customHeight="1">
      <c r="A6" s="20" t="s">
        <v>301</v>
      </c>
      <c r="B6" s="20"/>
      <c r="C6" s="20" t="s">
        <v>303</v>
      </c>
      <c r="D6" s="20"/>
      <c r="E6" s="20" t="s">
        <v>305</v>
      </c>
      <c r="F6" s="20"/>
      <c r="G6" s="20" t="s">
        <v>307</v>
      </c>
      <c r="H6" s="20"/>
      <c r="I6" s="20" t="s">
        <v>309</v>
      </c>
      <c r="J6" s="20"/>
      <c r="K6" s="20" t="s">
        <v>311</v>
      </c>
      <c r="L6" s="20"/>
    </row>
    <row r="8" spans="1:12" ht="18" customHeight="1">
      <c r="A8" s="3" t="s">
        <v>312</v>
      </c>
      <c r="B8" s="3"/>
      <c r="C8" s="3"/>
      <c r="E8" s="3" t="s">
        <v>317</v>
      </c>
      <c r="F8" s="3"/>
      <c r="G8" s="3"/>
    </row>
    <row r="9" spans="1:12" ht="18" customHeight="1">
      <c r="A9" s="8" t="s">
        <v>313</v>
      </c>
      <c r="B9" s="8" t="s">
        <v>314</v>
      </c>
      <c r="C9" s="8" t="s">
        <v>315</v>
      </c>
      <c r="E9" s="8" t="s">
        <v>318</v>
      </c>
      <c r="F9" s="8" t="s">
        <v>1</v>
      </c>
      <c r="G9" s="8" t="s">
        <v>2</v>
      </c>
    </row>
    <row r="10" spans="1:12" ht="18" customHeight="1">
      <c r="A10" s="9" t="s">
        <v>4</v>
      </c>
      <c r="B10" s="21">
        <f>COUNTIF(Farmers!$G$5:$G$54,A10)</f>
        <v>0</v>
      </c>
      <c r="C10" s="22">
        <f>IF($B$5=0,"",B10/$B$5)</f>
        <v>0</v>
      </c>
      <c r="E10" s="9" t="s">
        <v>4</v>
      </c>
      <c r="F10" s="21">
        <f>COUNTIFS(Farmers!$G$5:$G$54,E10,Farmers!$E$5:$E$54,"Punjab")</f>
        <v>0</v>
      </c>
      <c r="G10" s="21">
        <f>COUNTIFS(Farmers!$G$5:$G$54,E10,Farmers!$E$5:$E$54,"West Bengal")</f>
        <v>0</v>
      </c>
    </row>
    <row r="11" spans="1:12" ht="18" customHeight="1">
      <c r="A11" s="10" t="s">
        <v>5</v>
      </c>
      <c r="B11" s="21">
        <f>COUNTIF(Farmers!$G$5:$G$54,A11)</f>
        <v>0</v>
      </c>
      <c r="C11" s="22">
        <f>IF($B$5=0,"",B11/$B$5)</f>
        <v>0</v>
      </c>
      <c r="E11" s="10" t="s">
        <v>5</v>
      </c>
      <c r="F11" s="21">
        <f>COUNTIFS(Farmers!$G$5:$G$54,E11,Farmers!$E$5:$E$54,"Punjab")</f>
        <v>0</v>
      </c>
      <c r="G11" s="21">
        <f>COUNTIFS(Farmers!$G$5:$G$54,E11,Farmers!$E$5:$E$54,"West Bengal")</f>
        <v>0</v>
      </c>
    </row>
    <row r="12" spans="1:12" ht="18" customHeight="1">
      <c r="A12" s="9" t="s">
        <v>6</v>
      </c>
      <c r="B12" s="21">
        <f>COUNTIF(Farmers!$G$5:$G$54,A12)</f>
        <v>0</v>
      </c>
      <c r="C12" s="22">
        <f>IF($B$5=0,"",B12/$B$5)</f>
        <v>0</v>
      </c>
      <c r="E12" s="9" t="s">
        <v>6</v>
      </c>
      <c r="F12" s="21">
        <f>COUNTIFS(Farmers!$G$5:$G$54,E12,Farmers!$E$5:$E$54,"Punjab")</f>
        <v>0</v>
      </c>
      <c r="G12" s="21">
        <f>COUNTIFS(Farmers!$G$5:$G$54,E12,Farmers!$E$5:$E$54,"West Bengal")</f>
        <v>0</v>
      </c>
    </row>
    <row r="13" spans="1:12" ht="18" customHeight="1">
      <c r="A13" s="10" t="s">
        <v>7</v>
      </c>
      <c r="B13" s="21">
        <f>COUNTIF(Farmers!$G$5:$G$54,A13)</f>
        <v>0</v>
      </c>
      <c r="C13" s="22">
        <f>IF($B$5=0,"",B13/$B$5)</f>
        <v>0</v>
      </c>
      <c r="E13" s="10" t="s">
        <v>7</v>
      </c>
      <c r="F13" s="21">
        <f>COUNTIFS(Farmers!$G$5:$G$54,E13,Farmers!$E$5:$E$54,"Punjab")</f>
        <v>0</v>
      </c>
      <c r="G13" s="21">
        <f>COUNTIFS(Farmers!$G$5:$G$54,E13,Farmers!$E$5:$E$54,"West Bengal")</f>
        <v>0</v>
      </c>
    </row>
    <row r="15" spans="1:12" ht="18" customHeight="1">
      <c r="A15" s="3" t="s">
        <v>316</v>
      </c>
      <c r="B15" s="3"/>
      <c r="C15" s="3"/>
      <c r="E15" s="3" t="s">
        <v>319</v>
      </c>
      <c r="F15" s="3"/>
      <c r="G15" s="3"/>
    </row>
    <row r="16" spans="1:12" ht="18" customHeight="1">
      <c r="A16" s="8" t="s">
        <v>313</v>
      </c>
      <c r="B16" s="8" t="s">
        <v>314</v>
      </c>
      <c r="C16" s="8" t="s">
        <v>315</v>
      </c>
      <c r="E16" s="8" t="s">
        <v>313</v>
      </c>
      <c r="F16" s="8" t="s">
        <v>314</v>
      </c>
      <c r="G16" s="8" t="s">
        <v>315</v>
      </c>
    </row>
    <row r="17" spans="1:7" ht="18" customHeight="1">
      <c r="A17" s="9" t="s">
        <v>18</v>
      </c>
      <c r="B17" s="21">
        <f>COUNTIF(Farmers!$J$5:$J$54,A17)</f>
        <v>0</v>
      </c>
      <c r="C17" s="22">
        <f>IF($B$5=0,"",B17/$B$5)</f>
        <v>0</v>
      </c>
      <c r="E17" s="9" t="s">
        <v>43</v>
      </c>
      <c r="F17" s="21">
        <f>COUNTIF(Buyers!$I$5:$I$24,E17)</f>
        <v>0</v>
      </c>
      <c r="G17" s="22">
        <f>IF($I$5=0,"",F17/$I$5)</f>
        <v>0</v>
      </c>
    </row>
    <row r="18" spans="1:7" ht="18" customHeight="1">
      <c r="A18" s="10" t="s">
        <v>19</v>
      </c>
      <c r="B18" s="21">
        <f>COUNTIF(Farmers!$J$5:$J$54,A18)</f>
        <v>0</v>
      </c>
      <c r="C18" s="22">
        <f>IF($B$5=0,"",B18/$B$5)</f>
        <v>0</v>
      </c>
      <c r="E18" s="10" t="s">
        <v>44</v>
      </c>
      <c r="F18" s="21">
        <f>COUNTIF(Buyers!$I$5:$I$24,E18)</f>
        <v>0</v>
      </c>
      <c r="G18" s="22">
        <f>IF($I$5=0,"",F18/$I$5)</f>
        <v>0</v>
      </c>
    </row>
    <row r="19" spans="1:7" ht="18" customHeight="1">
      <c r="A19" s="9" t="s">
        <v>20</v>
      </c>
      <c r="B19" s="21">
        <f>COUNTIF(Farmers!$J$5:$J$54,A19)</f>
        <v>0</v>
      </c>
      <c r="C19" s="22">
        <f>IF($B$5=0,"",B19/$B$5)</f>
        <v>0</v>
      </c>
      <c r="E19" s="9" t="s">
        <v>45</v>
      </c>
      <c r="F19" s="21">
        <f>COUNTIF(Buyers!$I$5:$I$24,E19)</f>
        <v>0</v>
      </c>
      <c r="G19" s="22">
        <f>IF($I$5=0,"",F19/$I$5)</f>
        <v>0</v>
      </c>
    </row>
    <row r="20" spans="1:7" ht="18" customHeight="1">
      <c r="A20" s="10" t="s">
        <v>21</v>
      </c>
      <c r="B20" s="21">
        <f>COUNTIF(Farmers!$J$5:$J$54,A20)</f>
        <v>0</v>
      </c>
      <c r="C20" s="22">
        <f>IF($B$5=0,"",B20/$B$5)</f>
        <v>0</v>
      </c>
    </row>
    <row r="21" spans="1:7" ht="18" customHeight="1">
      <c r="A21" s="9" t="s">
        <v>22</v>
      </c>
      <c r="B21" s="21">
        <f>COUNTIF(Farmers!$J$5:$J$54,A21)</f>
        <v>0</v>
      </c>
      <c r="C21" s="22">
        <f>IF($B$5=0,"",B21/$B$5)</f>
        <v>0</v>
      </c>
      <c r="E21" s="3" t="s">
        <v>320</v>
      </c>
      <c r="F21" s="3"/>
      <c r="G21" s="3"/>
    </row>
    <row r="22" spans="1:7" ht="18" customHeight="1">
      <c r="E22" s="8" t="s">
        <v>313</v>
      </c>
      <c r="F22" s="8" t="s">
        <v>314</v>
      </c>
      <c r="G22" s="8" t="s">
        <v>315</v>
      </c>
    </row>
    <row r="23" spans="1:7" ht="18" customHeight="1">
      <c r="A23" s="3" t="s">
        <v>162</v>
      </c>
      <c r="B23" s="3"/>
      <c r="C23" s="3"/>
      <c r="E23" s="9" t="s">
        <v>59</v>
      </c>
      <c r="F23" s="21">
        <f>COUNTIF(Government!$H$5:$H$22,E23)</f>
        <v>0</v>
      </c>
      <c r="G23" s="22">
        <f>IF($K$5=0,"",F23/$K$5)</f>
        <v>0</v>
      </c>
    </row>
    <row r="24" spans="1:7" ht="18" customHeight="1">
      <c r="A24" s="8" t="s">
        <v>313</v>
      </c>
      <c r="B24" s="8" t="s">
        <v>314</v>
      </c>
      <c r="C24" s="8" t="s">
        <v>315</v>
      </c>
      <c r="E24" s="10" t="s">
        <v>60</v>
      </c>
      <c r="F24" s="21">
        <f>COUNTIF(Government!$H$5:$H$22,E24)</f>
        <v>0</v>
      </c>
      <c r="G24" s="22">
        <f>IF($K$5=0,"",F24/$K$5)</f>
        <v>0</v>
      </c>
    </row>
    <row r="25" spans="1:7" ht="18" customHeight="1">
      <c r="A25" s="9" t="s">
        <v>14</v>
      </c>
      <c r="B25" s="21">
        <f>COUNTIF(Farmers!$I$5:$I$54,A25)</f>
        <v>0</v>
      </c>
      <c r="C25" s="22">
        <f>IF($B$5=0,"",B25/$B$5)</f>
        <v>0</v>
      </c>
      <c r="E25" s="9" t="s">
        <v>61</v>
      </c>
      <c r="F25" s="21">
        <f>COUNTIF(Government!$H$5:$H$22,E25)</f>
        <v>0</v>
      </c>
      <c r="G25" s="22">
        <f>IF($K$5=0,"",F25/$K$5)</f>
        <v>0</v>
      </c>
    </row>
    <row r="26" spans="1:7" ht="18" customHeight="1">
      <c r="A26" s="10" t="s">
        <v>15</v>
      </c>
      <c r="B26" s="21">
        <f>COUNTIF(Farmers!$I$5:$I$54,A26)</f>
        <v>0</v>
      </c>
      <c r="C26" s="22">
        <f>IF($B$5=0,"",B26/$B$5)</f>
        <v>0</v>
      </c>
      <c r="E26" s="10" t="s">
        <v>62</v>
      </c>
      <c r="F26" s="21">
        <f>COUNTIF(Government!$H$5:$H$22,E26)</f>
        <v>0</v>
      </c>
      <c r="G26" s="22">
        <f>IF($K$5=0,"",F26/$K$5)</f>
        <v>0</v>
      </c>
    </row>
    <row r="27" spans="1:7" ht="18" customHeight="1">
      <c r="A27" s="9" t="s">
        <v>16</v>
      </c>
      <c r="B27" s="21">
        <f>COUNTIF(Farmers!$I$5:$I$54,A27)</f>
        <v>0</v>
      </c>
      <c r="C27" s="22">
        <f>IF($B$5=0,"",B27/$B$5)</f>
        <v>0</v>
      </c>
    </row>
    <row r="29" spans="1:7" ht="18" customHeight="1">
      <c r="A29" s="7" t="s">
        <v>321</v>
      </c>
      <c r="B29" s="7"/>
      <c r="C29" s="7"/>
      <c r="D29" s="7"/>
      <c r="E29" s="7"/>
      <c r="F29" s="7"/>
      <c r="G29" s="7"/>
    </row>
    <row r="30" spans="1:7" ht="18" customHeight="1">
      <c r="A30" s="7"/>
      <c r="B30" s="7"/>
      <c r="C30" s="7"/>
      <c r="D30" s="7"/>
      <c r="E30" s="7"/>
      <c r="F30" s="7"/>
      <c r="G30" s="7"/>
    </row>
  </sheetData>
  <mergeCells count="27">
    <mergeCell ref="A1:L1"/>
    <mergeCell ref="A2:L2"/>
    <mergeCell ref="A4:B4"/>
    <mergeCell ref="A5:B5"/>
    <mergeCell ref="A6:B6"/>
    <mergeCell ref="C4:D4"/>
    <mergeCell ref="C5:D5"/>
    <mergeCell ref="C6:D6"/>
    <mergeCell ref="E4:F4"/>
    <mergeCell ref="E5:F5"/>
    <mergeCell ref="E6:F6"/>
    <mergeCell ref="G4:H4"/>
    <mergeCell ref="G5:H5"/>
    <mergeCell ref="G6:H6"/>
    <mergeCell ref="I4:J4"/>
    <mergeCell ref="I5:J5"/>
    <mergeCell ref="I6:J6"/>
    <mergeCell ref="K4:L4"/>
    <mergeCell ref="K5:L5"/>
    <mergeCell ref="K6:L6"/>
    <mergeCell ref="A8:C8"/>
    <mergeCell ref="A15:C15"/>
    <mergeCell ref="A23:C23"/>
    <mergeCell ref="E8:G8"/>
    <mergeCell ref="E15:G15"/>
    <mergeCell ref="E21:G21"/>
    <mergeCell ref="A29:G30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FormatPr defaultRowHeight="15"/>
  <sheetData>
    <row r="1" spans="1:15">
      <c r="A1" t="s">
        <v>0</v>
      </c>
      <c r="B1" t="s">
        <v>3</v>
      </c>
      <c r="C1" t="s">
        <v>8</v>
      </c>
      <c r="D1" t="s">
        <v>13</v>
      </c>
      <c r="E1" t="s">
        <v>17</v>
      </c>
      <c r="F1" t="s">
        <v>23</v>
      </c>
      <c r="G1" t="s">
        <v>25</v>
      </c>
      <c r="H1" t="s">
        <v>31</v>
      </c>
      <c r="I1" t="s">
        <v>37</v>
      </c>
      <c r="J1" t="s">
        <v>42</v>
      </c>
      <c r="K1" t="s">
        <v>46</v>
      </c>
      <c r="L1" t="s">
        <v>48</v>
      </c>
      <c r="M1" t="s">
        <v>53</v>
      </c>
      <c r="N1" t="s">
        <v>58</v>
      </c>
      <c r="O1" t="s">
        <v>63</v>
      </c>
    </row>
    <row r="2" spans="1:15">
      <c r="A2" t="s">
        <v>1</v>
      </c>
      <c r="B2" t="s">
        <v>4</v>
      </c>
      <c r="C2" t="s">
        <v>9</v>
      </c>
      <c r="D2" t="s">
        <v>14</v>
      </c>
      <c r="E2" t="s">
        <v>18</v>
      </c>
      <c r="F2" t="s">
        <v>14</v>
      </c>
      <c r="G2" t="s">
        <v>26</v>
      </c>
      <c r="H2" t="s">
        <v>32</v>
      </c>
      <c r="I2" t="s">
        <v>38</v>
      </c>
      <c r="J2" t="s">
        <v>43</v>
      </c>
      <c r="K2" t="s">
        <v>14</v>
      </c>
      <c r="L2" t="s">
        <v>49</v>
      </c>
      <c r="M2" t="s">
        <v>54</v>
      </c>
      <c r="N2" t="s">
        <v>59</v>
      </c>
      <c r="O2" t="s">
        <v>14</v>
      </c>
    </row>
    <row r="3" spans="1:15">
      <c r="A3" t="s">
        <v>2</v>
      </c>
      <c r="B3" t="s">
        <v>5</v>
      </c>
      <c r="C3" t="s">
        <v>10</v>
      </c>
      <c r="D3" t="s">
        <v>15</v>
      </c>
      <c r="E3" t="s">
        <v>19</v>
      </c>
      <c r="F3" t="s">
        <v>24</v>
      </c>
      <c r="G3" t="s">
        <v>27</v>
      </c>
      <c r="H3" t="s">
        <v>33</v>
      </c>
      <c r="I3" t="s">
        <v>39</v>
      </c>
      <c r="J3" t="s">
        <v>44</v>
      </c>
      <c r="K3" t="s">
        <v>47</v>
      </c>
      <c r="L3" t="s">
        <v>50</v>
      </c>
      <c r="M3" t="s">
        <v>55</v>
      </c>
      <c r="N3" t="s">
        <v>60</v>
      </c>
      <c r="O3" t="s">
        <v>64</v>
      </c>
    </row>
    <row r="4" spans="1:15">
      <c r="B4" t="s">
        <v>6</v>
      </c>
      <c r="C4" t="s">
        <v>11</v>
      </c>
      <c r="D4" t="s">
        <v>16</v>
      </c>
      <c r="E4" t="s">
        <v>20</v>
      </c>
      <c r="F4" t="s">
        <v>16</v>
      </c>
      <c r="G4" t="s">
        <v>28</v>
      </c>
      <c r="H4" t="s">
        <v>34</v>
      </c>
      <c r="I4" t="s">
        <v>40</v>
      </c>
      <c r="J4" t="s">
        <v>45</v>
      </c>
      <c r="K4" t="s">
        <v>16</v>
      </c>
      <c r="L4" t="s">
        <v>51</v>
      </c>
      <c r="M4" t="s">
        <v>56</v>
      </c>
      <c r="N4" t="s">
        <v>61</v>
      </c>
      <c r="O4" t="s">
        <v>16</v>
      </c>
    </row>
    <row r="5" spans="1:15">
      <c r="B5" t="s">
        <v>7</v>
      </c>
      <c r="C5" t="s">
        <v>12</v>
      </c>
      <c r="E5" t="s">
        <v>21</v>
      </c>
      <c r="G5" t="s">
        <v>29</v>
      </c>
      <c r="H5" t="s">
        <v>35</v>
      </c>
      <c r="I5" t="s">
        <v>41</v>
      </c>
      <c r="L5" t="s">
        <v>52</v>
      </c>
      <c r="M5" t="s">
        <v>57</v>
      </c>
      <c r="N5" t="s">
        <v>62</v>
      </c>
    </row>
    <row r="6" spans="1:15">
      <c r="E6" t="s">
        <v>22</v>
      </c>
      <c r="G6" t="s">
        <v>30</v>
      </c>
      <c r="H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Questions</vt:lpstr>
      <vt:lpstr>Farmers</vt:lpstr>
      <vt:lpstr>Buyers</vt:lpstr>
      <vt:lpstr>Government</vt:lpstr>
      <vt:lpstr>Findings</vt:lpstr>
      <vt:lpstr>Lists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2026-09-16T18:10:35Z</dcterms:created>
  <dcterms:modified xsi:type="dcterms:W3CDTF">2026-09-16T18:10:35Z</dcterms:modified>
</cp:coreProperties>
</file>